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ownloads\"/>
    </mc:Choice>
  </mc:AlternateContent>
  <bookViews>
    <workbookView xWindow="0" yWindow="0" windowWidth="28800" windowHeight="12435" activeTab="1"/>
  </bookViews>
  <sheets>
    <sheet name="Sheet1" sheetId="3" r:id="rId1"/>
    <sheet name="Sheet3" sheetId="4" r:id="rId2"/>
    <sheet name="Sheet2" sheetId="2" r:id="rId3"/>
  </sheets>
  <definedNames>
    <definedName name="Slicer_Actual_amount">#N/A</definedName>
    <definedName name="Slicer_Category">#N/A</definedName>
    <definedName name="Slicer_Discription">#N/A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2" l="1"/>
  <c r="H23" i="2"/>
  <c r="H19" i="2"/>
  <c r="H15" i="2"/>
  <c r="H11" i="2"/>
  <c r="H6" i="2"/>
</calcChain>
</file>

<file path=xl/sharedStrings.xml><?xml version="1.0" encoding="utf-8"?>
<sst xmlns="http://schemas.openxmlformats.org/spreadsheetml/2006/main" count="203" uniqueCount="47">
  <si>
    <t>Date</t>
  </si>
  <si>
    <t>Month</t>
  </si>
  <si>
    <t>Category</t>
  </si>
  <si>
    <t>Discription</t>
  </si>
  <si>
    <t>Actual amount</t>
  </si>
  <si>
    <t>January</t>
  </si>
  <si>
    <t>Rent</t>
  </si>
  <si>
    <t>House Rent</t>
  </si>
  <si>
    <t>Food</t>
  </si>
  <si>
    <t>Groceries</t>
  </si>
  <si>
    <t>Transport</t>
  </si>
  <si>
    <t>Bus&amp;Fuel</t>
  </si>
  <si>
    <t>Total Expences</t>
  </si>
  <si>
    <t>Entertainment</t>
  </si>
  <si>
    <t>Movies</t>
  </si>
  <si>
    <t>Utilities</t>
  </si>
  <si>
    <t>Electricity bill</t>
  </si>
  <si>
    <t>February</t>
  </si>
  <si>
    <t>Total Expences by Category(Food)</t>
  </si>
  <si>
    <t>Water&amp;Power</t>
  </si>
  <si>
    <t>March</t>
  </si>
  <si>
    <t>Average</t>
  </si>
  <si>
    <t>Bus pass</t>
  </si>
  <si>
    <t>Outgoing</t>
  </si>
  <si>
    <t>April</t>
  </si>
  <si>
    <t>Total expences by month</t>
  </si>
  <si>
    <t>Fuel</t>
  </si>
  <si>
    <t>Total expenses by month and category</t>
  </si>
  <si>
    <t>May</t>
  </si>
  <si>
    <t>Shopping</t>
  </si>
  <si>
    <t>June</t>
  </si>
  <si>
    <t>avg expanses by month</t>
  </si>
  <si>
    <t>Trip</t>
  </si>
  <si>
    <t>July</t>
  </si>
  <si>
    <t>August</t>
  </si>
  <si>
    <t>September</t>
  </si>
  <si>
    <t>October</t>
  </si>
  <si>
    <t>Festival Shopping</t>
  </si>
  <si>
    <t>November</t>
  </si>
  <si>
    <t>December</t>
  </si>
  <si>
    <t>Travel</t>
  </si>
  <si>
    <t>Year-End Party</t>
  </si>
  <si>
    <t>Row Labels</t>
  </si>
  <si>
    <t>Grand Total</t>
  </si>
  <si>
    <t>Count of Month</t>
  </si>
  <si>
    <t>Count of Category</t>
  </si>
  <si>
    <t>Sum of Actual amount</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</si>
</sst>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Aptos Narrow"/>
      <family val="2"/>
      <scheme val="minor"/>
    </font>
    <font>
      <b/>
      <sz val="11"/>
      <color theme="1"/>
      <name val="Aptos Narrow"/>
      <family val="2"/>
      <scheme val="minor"/>
    </font>
    <font>
      <b/>
      <sz val="12"/>
      <color theme="1"/>
      <name val="Aptos Narrow"/>
      <family val="2"/>
      <scheme val="minor"/>
    </font>
    <font>
      <sz val="11"/>
      <color theme="4" tint="-0.249977111117893"/>
      <name val="Aptos Narrow"/>
      <family val="2"/>
      <scheme val="minor"/>
    </font>
    <font>
      <sz val="11"/>
      <color theme="0"/>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bottom>
      <diagonal/>
    </border>
  </borders>
  <cellStyleXfs count="1">
    <xf numFmtId="0" fontId="0" fillId="0" borderId="0"/>
  </cellStyleXfs>
  <cellXfs count="16">
    <xf numFmtId="0" fontId="0" fillId="0" borderId="0" xfId="0"/>
    <xf numFmtId="0" fontId="2" fillId="2" borderId="0" xfId="0" applyFont="1" applyFill="1"/>
    <xf numFmtId="0" fontId="1" fillId="2" borderId="0" xfId="0" applyFont="1" applyFill="1"/>
    <xf numFmtId="0" fontId="1" fillId="2" borderId="0" xfId="0" applyFont="1" applyFill="1" applyAlignment="1">
      <alignment vertical="center"/>
    </xf>
    <xf numFmtId="0" fontId="0" fillId="3" borderId="0" xfId="0" applyFill="1"/>
    <xf numFmtId="0" fontId="0" fillId="2" borderId="0" xfId="0" applyFill="1"/>
    <xf numFmtId="0" fontId="3" fillId="4" borderId="0" xfId="0" applyFont="1" applyFill="1"/>
    <xf numFmtId="0" fontId="3" fillId="0" borderId="0" xfId="0" applyFont="1"/>
    <xf numFmtId="0" fontId="3" fillId="0" borderId="1" xfId="0" applyFont="1" applyBorder="1"/>
    <xf numFmtId="14" fontId="3" fillId="4" borderId="0" xfId="0" applyNumberFormat="1" applyFont="1" applyFill="1"/>
    <xf numFmtId="14" fontId="3" fillId="0" borderId="0" xfId="0" applyNumberFormat="1" applyFont="1"/>
    <xf numFmtId="14" fontId="3" fillId="0" borderId="1" xfId="0" applyNumberFormat="1" applyFont="1" applyBorder="1"/>
    <xf numFmtId="0" fontId="0" fillId="0" borderId="0" xfId="0" pivotButton="1"/>
    <xf numFmtId="14" fontId="0" fillId="0" borderId="0" xfId="0" applyNumberFormat="1" applyAlignment="1">
      <alignment horizontal="left"/>
    </xf>
    <xf numFmtId="0" fontId="0" fillId="0" borderId="0" xfId="0" applyNumberFormat="1"/>
    <xf numFmtId="0" fontId="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[461.sumaja.xlsx]Sheet1!PivotTable4</c:name>
    <c:fmtId val="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Sheet1!$J$3</c:f>
              <c:strCache>
                <c:ptCount val="1"/>
                <c:pt idx="0">
                  <c:v>Total</c:v>
                </c:pt>
              </c:strCache>
            </c:strRef>
          </c:tx>
          <c:spPr>
            <a:solidFill>
              <a:schemeClr val="accent1"/>
            </a:solidFill>
            <a:ln>
              <a:noFill/>
            </a:ln>
            <a:effectLst/>
          </c:spPr>
          <c:invertIfNegative val="0"/>
          <c:cat>
            <c:strRef>
              <c:f>Sheet1!$I$4:$I$64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Sheet1!$J$4:$J$64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dLblPos val="outEnd"/>
          <c:showLegendKey val="0"/>
          <c:showVal val="0"/>
          <c:showCatName val="0"/>
          <c:showSerName val="0"/>
          <c:showPercent val="0"/>
          <c:showBubbleSize val="0"/>
        </c:dLbls>
        <c:gapWidth val="219"/>
        <c:overlap val="-27"/>
        <c:axId val="358550120"/>
        <c:axId val="358554432"/>
      </c:barChart>
      <c:catAx>
        <c:axId val="35855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54432"/>
        <c:crosses val="autoZero"/>
        <c:auto val="1"/>
        <c:lblAlgn val="ctr"/>
        <c:lblOffset val="100"/>
        <c:noMultiLvlLbl val="0"/>
      </c:catAx>
      <c:valAx>
        <c:axId val="358554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550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[461.sumaja.xlsx]Sheet1!PivotTable4</c:name>
    <c:fmtId val="1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dPt>
            <c:idx val="53"/>
            <c:bubble3D val="0"/>
            <c:spPr>
              <a:solidFill>
                <a:schemeClr val="accent6">
                  <a:lumMod val="50000"/>
                  <a:lumOff val="50000"/>
                </a:schemeClr>
              </a:solidFill>
              <a:ln w="25400">
                <a:solidFill>
                  <a:schemeClr val="lt1"/>
                </a:solidFill>
              </a:ln>
              <a:effectLst/>
              <a:sp3d contourW="25400">
                <a:contourClr>
                  <a:schemeClr val="lt1"/>
                </a:contourClr>
              </a:sp3d>
            </c:spPr>
          </c:dPt>
          <c:dPt>
            <c:idx val="54"/>
            <c:bubble3D val="0"/>
            <c:spPr>
              <a:solidFill>
                <a:schemeClr val="accent1"/>
              </a:solidFill>
              <a:ln w="25400">
                <a:solidFill>
                  <a:schemeClr val="lt1"/>
                </a:solidFill>
              </a:ln>
              <a:effectLst/>
              <a:sp3d contourW="25400">
                <a:contourClr>
                  <a:schemeClr val="lt1"/>
                </a:contourClr>
              </a:sp3d>
            </c:spPr>
          </c:dPt>
          <c:dPt>
            <c:idx val="55"/>
            <c:bubble3D val="0"/>
            <c:spPr>
              <a:solidFill>
                <a:schemeClr val="accent2"/>
              </a:solidFill>
              <a:ln w="25400">
                <a:solidFill>
                  <a:schemeClr val="lt1"/>
                </a:solidFill>
              </a:ln>
              <a:effectLst/>
              <a:sp3d contourW="25400">
                <a:contourClr>
                  <a:schemeClr val="lt1"/>
                </a:contourClr>
              </a:sp3d>
            </c:spPr>
          </c:dPt>
          <c:dPt>
            <c:idx val="56"/>
            <c:bubble3D val="0"/>
            <c:spPr>
              <a:solidFill>
                <a:schemeClr val="accent3"/>
              </a:solidFill>
              <a:ln w="25400">
                <a:solidFill>
                  <a:schemeClr val="lt1"/>
                </a:solidFill>
              </a:ln>
              <a:effectLst/>
              <a:sp3d contourW="25400">
                <a:contourClr>
                  <a:schemeClr val="lt1"/>
                </a:contourClr>
              </a:sp3d>
            </c:spPr>
          </c:dPt>
          <c:dPt>
            <c:idx val="57"/>
            <c:bubble3D val="0"/>
            <c:spPr>
              <a:solidFill>
                <a:schemeClr val="accent4"/>
              </a:solidFill>
              <a:ln w="25400">
                <a:solidFill>
                  <a:schemeClr val="lt1"/>
                </a:solidFill>
              </a:ln>
              <a:effectLst/>
              <a:sp3d contourW="25400">
                <a:contourClr>
                  <a:schemeClr val="lt1"/>
                </a:contourClr>
              </a:sp3d>
            </c:spPr>
          </c:dPt>
          <c:dPt>
            <c:idx val="58"/>
            <c:bubble3D val="0"/>
            <c:spPr>
              <a:solidFill>
                <a:schemeClr val="accent5"/>
              </a:solidFill>
              <a:ln w="25400">
                <a:solidFill>
                  <a:schemeClr val="lt1"/>
                </a:solidFill>
              </a:ln>
              <a:effectLst/>
              <a:sp3d contourW="25400">
                <a:contourClr>
                  <a:schemeClr val="lt1"/>
                </a:contourClr>
              </a:sp3d>
            </c:spPr>
          </c:dPt>
          <c:dPt>
            <c:idx val="59"/>
            <c:bubble3D val="0"/>
            <c:spPr>
              <a:solidFill>
                <a:schemeClr val="accent6"/>
              </a:solidFill>
              <a:ln w="25400">
                <a:solidFill>
                  <a:schemeClr val="lt1"/>
                </a:solidFill>
              </a:ln>
              <a:effectLst/>
              <a:sp3d contourW="25400">
                <a:contourClr>
                  <a:schemeClr val="lt1"/>
                </a:contourClr>
              </a:sp3d>
            </c:spPr>
          </c:dPt>
          <c:cat>
            <c:strRef>
              <c:f>Sheet1!$I$4:$I$64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Sheet1!$J$4:$J$64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[461.sumaja.xlsx]Sheet1!PivotTable5</c:name>
    <c:fmtId val="1"/>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Sheet1!$N$3</c:f>
              <c:strCache>
                <c:ptCount val="1"/>
                <c:pt idx="0">
                  <c:v>Total</c:v>
                </c:pt>
              </c:strCache>
            </c:strRef>
          </c:tx>
          <c:spPr>
            <a:solidFill>
              <a:schemeClr val="accent1"/>
            </a:solidFill>
            <a:ln>
              <a:noFill/>
            </a:ln>
            <a:effectLst/>
          </c:spPr>
          <c:cat>
            <c:strRef>
              <c:f>Sheet1!$M$4:$M$64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Sheet1!$N$4:$N$64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axId val="367699072"/>
        <c:axId val="367695936"/>
      </c:areaChart>
      <c:catAx>
        <c:axId val="367699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95936"/>
        <c:crosses val="autoZero"/>
        <c:auto val="1"/>
        <c:lblAlgn val="ctr"/>
        <c:lblOffset val="100"/>
        <c:noMultiLvlLbl val="0"/>
      </c:catAx>
      <c:valAx>
        <c:axId val="36769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69907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[461.sumaja.xlsx]Sheet1!PivotTable4</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Sheet1!$J$3</c:f>
              <c:strCache>
                <c:ptCount val="1"/>
                <c:pt idx="0">
                  <c:v>Total</c:v>
                </c:pt>
              </c:strCache>
            </c:strRef>
          </c:tx>
          <c:spPr>
            <a:solidFill>
              <a:schemeClr val="accent1"/>
            </a:solidFill>
            <a:ln>
              <a:noFill/>
            </a:ln>
            <a:effectLst/>
          </c:spPr>
          <c:invertIfNegative val="0"/>
          <c:cat>
            <c:strRef>
              <c:f>Sheet1!$I$4:$I$64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Sheet1!$J$4:$J$64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gapWidth val="219"/>
        <c:overlap val="-27"/>
        <c:axId val="298584880"/>
        <c:axId val="298585272"/>
      </c:barChart>
      <c:catAx>
        <c:axId val="29858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85272"/>
        <c:crosses val="autoZero"/>
        <c:auto val="1"/>
        <c:lblAlgn val="ctr"/>
        <c:lblOffset val="100"/>
        <c:noMultiLvlLbl val="0"/>
      </c:catAx>
      <c:valAx>
        <c:axId val="298585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84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[461.sumaja.xlsx]Sheet1!PivotTable4</c:name>
    <c:fmtId val="15"/>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marker>
          <c:symbol val="none"/>
        </c:marke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marker>
          <c:symbol val="none"/>
        </c:marke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Sheet1!$J$3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dPt>
            <c:idx val="39"/>
            <c:bubble3D val="0"/>
            <c:spPr>
              <a:solidFill>
                <a:schemeClr val="accent4">
                  <a:lumMod val="70000"/>
                  <a:lumOff val="30000"/>
                </a:schemeClr>
              </a:solidFill>
              <a:ln w="25400">
                <a:solidFill>
                  <a:schemeClr val="lt1"/>
                </a:solidFill>
              </a:ln>
              <a:effectLst/>
              <a:sp3d contourW="25400">
                <a:contourClr>
                  <a:schemeClr val="lt1"/>
                </a:contourClr>
              </a:sp3d>
            </c:spPr>
          </c:dPt>
          <c:dPt>
            <c:idx val="40"/>
            <c:bubble3D val="0"/>
            <c:spPr>
              <a:solidFill>
                <a:schemeClr val="accent5">
                  <a:lumMod val="70000"/>
                  <a:lumOff val="30000"/>
                </a:schemeClr>
              </a:solidFill>
              <a:ln w="25400">
                <a:solidFill>
                  <a:schemeClr val="lt1"/>
                </a:solidFill>
              </a:ln>
              <a:effectLst/>
              <a:sp3d contourW="25400">
                <a:contourClr>
                  <a:schemeClr val="lt1"/>
                </a:contourClr>
              </a:sp3d>
            </c:spPr>
          </c:dPt>
          <c:dPt>
            <c:idx val="41"/>
            <c:bubble3D val="0"/>
            <c:spPr>
              <a:solidFill>
                <a:schemeClr val="accent6">
                  <a:lumMod val="70000"/>
                  <a:lumOff val="30000"/>
                </a:schemeClr>
              </a:solidFill>
              <a:ln w="25400">
                <a:solidFill>
                  <a:schemeClr val="lt1"/>
                </a:solidFill>
              </a:ln>
              <a:effectLst/>
              <a:sp3d contourW="25400">
                <a:contourClr>
                  <a:schemeClr val="lt1"/>
                </a:contourClr>
              </a:sp3d>
            </c:spPr>
          </c:dPt>
          <c:dPt>
            <c:idx val="42"/>
            <c:bubble3D val="0"/>
            <c:spPr>
              <a:solidFill>
                <a:schemeClr val="accent1">
                  <a:lumMod val="70000"/>
                </a:schemeClr>
              </a:solidFill>
              <a:ln w="25400">
                <a:solidFill>
                  <a:schemeClr val="lt1"/>
                </a:solidFill>
              </a:ln>
              <a:effectLst/>
              <a:sp3d contourW="25400">
                <a:contourClr>
                  <a:schemeClr val="lt1"/>
                </a:contourClr>
              </a:sp3d>
            </c:spPr>
          </c:dPt>
          <c:dPt>
            <c:idx val="43"/>
            <c:bubble3D val="0"/>
            <c:spPr>
              <a:solidFill>
                <a:schemeClr val="accent2">
                  <a:lumMod val="70000"/>
                </a:schemeClr>
              </a:solidFill>
              <a:ln w="25400">
                <a:solidFill>
                  <a:schemeClr val="lt1"/>
                </a:solidFill>
              </a:ln>
              <a:effectLst/>
              <a:sp3d contourW="25400">
                <a:contourClr>
                  <a:schemeClr val="lt1"/>
                </a:contourClr>
              </a:sp3d>
            </c:spPr>
          </c:dPt>
          <c:dPt>
            <c:idx val="44"/>
            <c:bubble3D val="0"/>
            <c:spPr>
              <a:solidFill>
                <a:schemeClr val="accent3">
                  <a:lumMod val="70000"/>
                </a:schemeClr>
              </a:solidFill>
              <a:ln w="25400">
                <a:solidFill>
                  <a:schemeClr val="lt1"/>
                </a:solidFill>
              </a:ln>
              <a:effectLst/>
              <a:sp3d contourW="25400">
                <a:contourClr>
                  <a:schemeClr val="lt1"/>
                </a:contourClr>
              </a:sp3d>
            </c:spPr>
          </c:dPt>
          <c:dPt>
            <c:idx val="45"/>
            <c:bubble3D val="0"/>
            <c:spPr>
              <a:solidFill>
                <a:schemeClr val="accent4">
                  <a:lumMod val="70000"/>
                </a:schemeClr>
              </a:solidFill>
              <a:ln w="25400">
                <a:solidFill>
                  <a:schemeClr val="lt1"/>
                </a:solidFill>
              </a:ln>
              <a:effectLst/>
              <a:sp3d contourW="25400">
                <a:contourClr>
                  <a:schemeClr val="lt1"/>
                </a:contourClr>
              </a:sp3d>
            </c:spPr>
          </c:dPt>
          <c:dPt>
            <c:idx val="46"/>
            <c:bubble3D val="0"/>
            <c:spPr>
              <a:solidFill>
                <a:schemeClr val="accent5">
                  <a:lumMod val="70000"/>
                </a:schemeClr>
              </a:solidFill>
              <a:ln w="25400">
                <a:solidFill>
                  <a:schemeClr val="lt1"/>
                </a:solidFill>
              </a:ln>
              <a:effectLst/>
              <a:sp3d contourW="25400">
                <a:contourClr>
                  <a:schemeClr val="lt1"/>
                </a:contourClr>
              </a:sp3d>
            </c:spPr>
          </c:dPt>
          <c:dPt>
            <c:idx val="47"/>
            <c:bubble3D val="0"/>
            <c:spPr>
              <a:solidFill>
                <a:schemeClr val="accent6">
                  <a:lumMod val="70000"/>
                </a:schemeClr>
              </a:solidFill>
              <a:ln w="25400">
                <a:solidFill>
                  <a:schemeClr val="lt1"/>
                </a:solidFill>
              </a:ln>
              <a:effectLst/>
              <a:sp3d contourW="25400">
                <a:contourClr>
                  <a:schemeClr val="lt1"/>
                </a:contourClr>
              </a:sp3d>
            </c:spPr>
          </c:dPt>
          <c:dPt>
            <c:idx val="48"/>
            <c:bubble3D val="0"/>
            <c:spPr>
              <a:solidFill>
                <a:schemeClr val="accent1">
                  <a:lumMod val="50000"/>
                  <a:lumOff val="50000"/>
                </a:schemeClr>
              </a:solidFill>
              <a:ln w="25400">
                <a:solidFill>
                  <a:schemeClr val="lt1"/>
                </a:solidFill>
              </a:ln>
              <a:effectLst/>
              <a:sp3d contourW="25400">
                <a:contourClr>
                  <a:schemeClr val="lt1"/>
                </a:contourClr>
              </a:sp3d>
            </c:spPr>
          </c:dPt>
          <c:dPt>
            <c:idx val="49"/>
            <c:bubble3D val="0"/>
            <c:spPr>
              <a:solidFill>
                <a:schemeClr val="accent2">
                  <a:lumMod val="50000"/>
                  <a:lumOff val="50000"/>
                </a:schemeClr>
              </a:solidFill>
              <a:ln w="25400">
                <a:solidFill>
                  <a:schemeClr val="lt1"/>
                </a:solidFill>
              </a:ln>
              <a:effectLst/>
              <a:sp3d contourW="25400">
                <a:contourClr>
                  <a:schemeClr val="lt1"/>
                </a:contourClr>
              </a:sp3d>
            </c:spPr>
          </c:dPt>
          <c:dPt>
            <c:idx val="50"/>
            <c:bubble3D val="0"/>
            <c:spPr>
              <a:solidFill>
                <a:schemeClr val="accent3">
                  <a:lumMod val="50000"/>
                  <a:lumOff val="50000"/>
                </a:schemeClr>
              </a:solidFill>
              <a:ln w="25400">
                <a:solidFill>
                  <a:schemeClr val="lt1"/>
                </a:solidFill>
              </a:ln>
              <a:effectLst/>
              <a:sp3d contourW="25400">
                <a:contourClr>
                  <a:schemeClr val="lt1"/>
                </a:contourClr>
              </a:sp3d>
            </c:spPr>
          </c:dPt>
          <c:dPt>
            <c:idx val="51"/>
            <c:bubble3D val="0"/>
            <c:spPr>
              <a:solidFill>
                <a:schemeClr val="accent4">
                  <a:lumMod val="50000"/>
                  <a:lumOff val="50000"/>
                </a:schemeClr>
              </a:solidFill>
              <a:ln w="25400">
                <a:solidFill>
                  <a:schemeClr val="lt1"/>
                </a:solidFill>
              </a:ln>
              <a:effectLst/>
              <a:sp3d contourW="25400">
                <a:contourClr>
                  <a:schemeClr val="lt1"/>
                </a:contourClr>
              </a:sp3d>
            </c:spPr>
          </c:dPt>
          <c:dPt>
            <c:idx val="52"/>
            <c:bubble3D val="0"/>
            <c:spPr>
              <a:solidFill>
                <a:schemeClr val="accent5">
                  <a:lumMod val="50000"/>
                  <a:lumOff val="50000"/>
                </a:schemeClr>
              </a:solidFill>
              <a:ln w="25400">
                <a:solidFill>
                  <a:schemeClr val="lt1"/>
                </a:solidFill>
              </a:ln>
              <a:effectLst/>
              <a:sp3d contourW="25400">
                <a:contourClr>
                  <a:schemeClr val="lt1"/>
                </a:contourClr>
              </a:sp3d>
            </c:spPr>
          </c:dPt>
          <c:dPt>
            <c:idx val="53"/>
            <c:bubble3D val="0"/>
            <c:spPr>
              <a:solidFill>
                <a:schemeClr val="accent6">
                  <a:lumMod val="50000"/>
                  <a:lumOff val="50000"/>
                </a:schemeClr>
              </a:solidFill>
              <a:ln w="25400">
                <a:solidFill>
                  <a:schemeClr val="lt1"/>
                </a:solidFill>
              </a:ln>
              <a:effectLst/>
              <a:sp3d contourW="25400">
                <a:contourClr>
                  <a:schemeClr val="lt1"/>
                </a:contourClr>
              </a:sp3d>
            </c:spPr>
          </c:dPt>
          <c:dPt>
            <c:idx val="54"/>
            <c:bubble3D val="0"/>
            <c:spPr>
              <a:solidFill>
                <a:schemeClr val="accent1"/>
              </a:solidFill>
              <a:ln w="25400">
                <a:solidFill>
                  <a:schemeClr val="lt1"/>
                </a:solidFill>
              </a:ln>
              <a:effectLst/>
              <a:sp3d contourW="25400">
                <a:contourClr>
                  <a:schemeClr val="lt1"/>
                </a:contourClr>
              </a:sp3d>
            </c:spPr>
          </c:dPt>
          <c:dPt>
            <c:idx val="55"/>
            <c:bubble3D val="0"/>
            <c:spPr>
              <a:solidFill>
                <a:schemeClr val="accent2"/>
              </a:solidFill>
              <a:ln w="25400">
                <a:solidFill>
                  <a:schemeClr val="lt1"/>
                </a:solidFill>
              </a:ln>
              <a:effectLst/>
              <a:sp3d contourW="25400">
                <a:contourClr>
                  <a:schemeClr val="lt1"/>
                </a:contourClr>
              </a:sp3d>
            </c:spPr>
          </c:dPt>
          <c:dPt>
            <c:idx val="56"/>
            <c:bubble3D val="0"/>
            <c:spPr>
              <a:solidFill>
                <a:schemeClr val="accent3"/>
              </a:solidFill>
              <a:ln w="25400">
                <a:solidFill>
                  <a:schemeClr val="lt1"/>
                </a:solidFill>
              </a:ln>
              <a:effectLst/>
              <a:sp3d contourW="25400">
                <a:contourClr>
                  <a:schemeClr val="lt1"/>
                </a:contourClr>
              </a:sp3d>
            </c:spPr>
          </c:dPt>
          <c:dPt>
            <c:idx val="57"/>
            <c:bubble3D val="0"/>
            <c:spPr>
              <a:solidFill>
                <a:schemeClr val="accent4"/>
              </a:solidFill>
              <a:ln w="25400">
                <a:solidFill>
                  <a:schemeClr val="lt1"/>
                </a:solidFill>
              </a:ln>
              <a:effectLst/>
              <a:sp3d contourW="25400">
                <a:contourClr>
                  <a:schemeClr val="lt1"/>
                </a:contourClr>
              </a:sp3d>
            </c:spPr>
          </c:dPt>
          <c:dPt>
            <c:idx val="58"/>
            <c:bubble3D val="0"/>
            <c:spPr>
              <a:solidFill>
                <a:schemeClr val="accent5"/>
              </a:solidFill>
              <a:ln w="25400">
                <a:solidFill>
                  <a:schemeClr val="lt1"/>
                </a:solidFill>
              </a:ln>
              <a:effectLst/>
              <a:sp3d contourW="25400">
                <a:contourClr>
                  <a:schemeClr val="lt1"/>
                </a:contourClr>
              </a:sp3d>
            </c:spPr>
          </c:dPt>
          <c:dPt>
            <c:idx val="59"/>
            <c:bubble3D val="0"/>
            <c:spPr>
              <a:solidFill>
                <a:schemeClr val="accent6"/>
              </a:solidFill>
              <a:ln w="25400">
                <a:solidFill>
                  <a:schemeClr val="lt1"/>
                </a:solidFill>
              </a:ln>
              <a:effectLst/>
              <a:sp3d contourW="25400">
                <a:contourClr>
                  <a:schemeClr val="lt1"/>
                </a:contourClr>
              </a:sp3d>
            </c:spPr>
          </c:dPt>
          <c:cat>
            <c:strRef>
              <c:f>Sheet1!$I$4:$I$64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Sheet1!$J$4:$J$64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[461.sumaja.xlsx]Sheet1!PivotTable5</c:name>
    <c:fmtId val="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Sheet1!$N$3</c:f>
              <c:strCache>
                <c:ptCount val="1"/>
                <c:pt idx="0">
                  <c:v>Total</c:v>
                </c:pt>
              </c:strCache>
            </c:strRef>
          </c:tx>
          <c:spPr>
            <a:solidFill>
              <a:schemeClr val="accent1"/>
            </a:solidFill>
            <a:ln>
              <a:noFill/>
            </a:ln>
            <a:effectLst/>
          </c:spPr>
          <c:cat>
            <c:strRef>
              <c:f>Sheet1!$M$4:$M$64</c:f>
              <c:strCache>
                <c:ptCount val="60"/>
                <c:pt idx="0">
                  <c:v>05-01-2025</c:v>
                </c:pt>
                <c:pt idx="1">
                  <c:v>08-01-2025</c:v>
                </c:pt>
                <c:pt idx="2">
                  <c:v>12-01-2025</c:v>
                </c:pt>
                <c:pt idx="3">
                  <c:v>18-01-2025</c:v>
                </c:pt>
                <c:pt idx="4">
                  <c:v>25-01-2025</c:v>
                </c:pt>
                <c:pt idx="5">
                  <c:v>05-02-2025</c:v>
                </c:pt>
                <c:pt idx="6">
                  <c:v>09-02-2025</c:v>
                </c:pt>
                <c:pt idx="7">
                  <c:v>12-02-2025</c:v>
                </c:pt>
                <c:pt idx="8">
                  <c:v>18-02-2025</c:v>
                </c:pt>
                <c:pt idx="9">
                  <c:v>24-02-2025</c:v>
                </c:pt>
                <c:pt idx="10">
                  <c:v>05-03-2025</c:v>
                </c:pt>
                <c:pt idx="11">
                  <c:v>08-03-2025</c:v>
                </c:pt>
                <c:pt idx="12">
                  <c:v>14-03-2025</c:v>
                </c:pt>
                <c:pt idx="13">
                  <c:v>20-03-2025</c:v>
                </c:pt>
                <c:pt idx="14">
                  <c:v>26-03-2025</c:v>
                </c:pt>
                <c:pt idx="15">
                  <c:v>05-04-2025</c:v>
                </c:pt>
                <c:pt idx="16">
                  <c:v>09-04-2025</c:v>
                </c:pt>
                <c:pt idx="17">
                  <c:v>13-04-2025</c:v>
                </c:pt>
                <c:pt idx="18">
                  <c:v>19-04-2025</c:v>
                </c:pt>
                <c:pt idx="19">
                  <c:v>25-04-2025</c:v>
                </c:pt>
                <c:pt idx="20">
                  <c:v>05-05-2025</c:v>
                </c:pt>
                <c:pt idx="21">
                  <c:v>08-05-2025</c:v>
                </c:pt>
                <c:pt idx="22">
                  <c:v>14-05-2025</c:v>
                </c:pt>
                <c:pt idx="23">
                  <c:v>20-05-2025</c:v>
                </c:pt>
                <c:pt idx="24">
                  <c:v>26-05-2025</c:v>
                </c:pt>
                <c:pt idx="25">
                  <c:v>05-06-2025</c:v>
                </c:pt>
                <c:pt idx="26">
                  <c:v>09-06-2025</c:v>
                </c:pt>
                <c:pt idx="27">
                  <c:v>13-06-2025</c:v>
                </c:pt>
                <c:pt idx="28">
                  <c:v>18-06-2025</c:v>
                </c:pt>
                <c:pt idx="29">
                  <c:v>25-06-2025</c:v>
                </c:pt>
                <c:pt idx="30">
                  <c:v>05-07-2025</c:v>
                </c:pt>
                <c:pt idx="31">
                  <c:v>08-07-2025</c:v>
                </c:pt>
                <c:pt idx="32">
                  <c:v>12-07-2025</c:v>
                </c:pt>
                <c:pt idx="33">
                  <c:v>19-07-2025</c:v>
                </c:pt>
                <c:pt idx="34">
                  <c:v>26-07-2025</c:v>
                </c:pt>
                <c:pt idx="35">
                  <c:v>05-08-2025</c:v>
                </c:pt>
                <c:pt idx="36">
                  <c:v>09-08-2025</c:v>
                </c:pt>
                <c:pt idx="37">
                  <c:v>14-08-2025</c:v>
                </c:pt>
                <c:pt idx="38">
                  <c:v>20-08-2025</c:v>
                </c:pt>
                <c:pt idx="39">
                  <c:v>26-08-2025</c:v>
                </c:pt>
                <c:pt idx="40">
                  <c:v>05-09-2025</c:v>
                </c:pt>
                <c:pt idx="41">
                  <c:v>08-09-2025</c:v>
                </c:pt>
                <c:pt idx="42">
                  <c:v>13-09-2025</c:v>
                </c:pt>
                <c:pt idx="43">
                  <c:v>18-09-2025</c:v>
                </c:pt>
                <c:pt idx="44">
                  <c:v>25-09-2025</c:v>
                </c:pt>
                <c:pt idx="45">
                  <c:v>05-10-2025</c:v>
                </c:pt>
                <c:pt idx="46">
                  <c:v>09-10-2025</c:v>
                </c:pt>
                <c:pt idx="47">
                  <c:v>14-10-2025</c:v>
                </c:pt>
                <c:pt idx="48">
                  <c:v>20-10-2025</c:v>
                </c:pt>
                <c:pt idx="49">
                  <c:v>26-10-2025</c:v>
                </c:pt>
                <c:pt idx="50">
                  <c:v>05-11-2025</c:v>
                </c:pt>
                <c:pt idx="51">
                  <c:v>08-11-2025</c:v>
                </c:pt>
                <c:pt idx="52">
                  <c:v>13-11-2025</c:v>
                </c:pt>
                <c:pt idx="53">
                  <c:v>19-11-2025</c:v>
                </c:pt>
                <c:pt idx="54">
                  <c:v>25-11-2025</c:v>
                </c:pt>
                <c:pt idx="55">
                  <c:v>05-12-2025</c:v>
                </c:pt>
                <c:pt idx="56">
                  <c:v>09-12-2025</c:v>
                </c:pt>
                <c:pt idx="57">
                  <c:v>14-12-2025</c:v>
                </c:pt>
                <c:pt idx="58">
                  <c:v>20-12-2025</c:v>
                </c:pt>
                <c:pt idx="59">
                  <c:v>26-12-2025</c:v>
                </c:pt>
              </c:strCache>
            </c:strRef>
          </c:cat>
          <c:val>
            <c:numRef>
              <c:f>Sheet1!$N$4:$N$64</c:f>
              <c:numCache>
                <c:formatCode>General</c:formatCode>
                <c:ptCount val="60"/>
                <c:pt idx="0">
                  <c:v>12000</c:v>
                </c:pt>
                <c:pt idx="1">
                  <c:v>4200</c:v>
                </c:pt>
                <c:pt idx="2">
                  <c:v>2800</c:v>
                </c:pt>
                <c:pt idx="3">
                  <c:v>2300</c:v>
                </c:pt>
                <c:pt idx="4">
                  <c:v>2600</c:v>
                </c:pt>
                <c:pt idx="5">
                  <c:v>12000</c:v>
                </c:pt>
                <c:pt idx="6">
                  <c:v>5100</c:v>
                </c:pt>
                <c:pt idx="7">
                  <c:v>3200</c:v>
                </c:pt>
                <c:pt idx="8">
                  <c:v>1900</c:v>
                </c:pt>
                <c:pt idx="9">
                  <c:v>2400</c:v>
                </c:pt>
                <c:pt idx="10">
                  <c:v>12000</c:v>
                </c:pt>
                <c:pt idx="11">
                  <c:v>3900</c:v>
                </c:pt>
                <c:pt idx="12">
                  <c:v>2600</c:v>
                </c:pt>
                <c:pt idx="13">
                  <c:v>1500</c:v>
                </c:pt>
                <c:pt idx="14">
                  <c:v>2300</c:v>
                </c:pt>
                <c:pt idx="15">
                  <c:v>12000</c:v>
                </c:pt>
                <c:pt idx="16">
                  <c:v>4500</c:v>
                </c:pt>
                <c:pt idx="17">
                  <c:v>3000</c:v>
                </c:pt>
                <c:pt idx="18">
                  <c:v>2200</c:v>
                </c:pt>
                <c:pt idx="19">
                  <c:v>2500</c:v>
                </c:pt>
                <c:pt idx="20">
                  <c:v>12000</c:v>
                </c:pt>
                <c:pt idx="21">
                  <c:v>4800</c:v>
                </c:pt>
                <c:pt idx="22">
                  <c:v>2900</c:v>
                </c:pt>
                <c:pt idx="23">
                  <c:v>2100</c:v>
                </c:pt>
                <c:pt idx="24">
                  <c:v>2600</c:v>
                </c:pt>
                <c:pt idx="25">
                  <c:v>12000</c:v>
                </c:pt>
                <c:pt idx="26">
                  <c:v>5200</c:v>
                </c:pt>
                <c:pt idx="27">
                  <c:v>3300</c:v>
                </c:pt>
                <c:pt idx="28">
                  <c:v>2800</c:v>
                </c:pt>
                <c:pt idx="29">
                  <c:v>2700</c:v>
                </c:pt>
                <c:pt idx="30">
                  <c:v>12000</c:v>
                </c:pt>
                <c:pt idx="31">
                  <c:v>4100</c:v>
                </c:pt>
                <c:pt idx="32">
                  <c:v>2600</c:v>
                </c:pt>
                <c:pt idx="33">
                  <c:v>1800</c:v>
                </c:pt>
                <c:pt idx="34">
                  <c:v>2400</c:v>
                </c:pt>
                <c:pt idx="35">
                  <c:v>12000</c:v>
                </c:pt>
                <c:pt idx="36">
                  <c:v>4700</c:v>
                </c:pt>
                <c:pt idx="37">
                  <c:v>3100</c:v>
                </c:pt>
                <c:pt idx="38">
                  <c:v>2200</c:v>
                </c:pt>
                <c:pt idx="39">
                  <c:v>2500</c:v>
                </c:pt>
                <c:pt idx="40">
                  <c:v>12000</c:v>
                </c:pt>
                <c:pt idx="41">
                  <c:v>4300</c:v>
                </c:pt>
                <c:pt idx="42">
                  <c:v>2700</c:v>
                </c:pt>
                <c:pt idx="43">
                  <c:v>2000</c:v>
                </c:pt>
                <c:pt idx="44">
                  <c:v>2400</c:v>
                </c:pt>
                <c:pt idx="45">
                  <c:v>12000</c:v>
                </c:pt>
                <c:pt idx="46">
                  <c:v>5000</c:v>
                </c:pt>
                <c:pt idx="47">
                  <c:v>3200</c:v>
                </c:pt>
                <c:pt idx="48">
                  <c:v>3500</c:v>
                </c:pt>
                <c:pt idx="49">
                  <c:v>2800</c:v>
                </c:pt>
                <c:pt idx="50">
                  <c:v>12000</c:v>
                </c:pt>
                <c:pt idx="51">
                  <c:v>4600</c:v>
                </c:pt>
                <c:pt idx="52">
                  <c:v>3000</c:v>
                </c:pt>
                <c:pt idx="53">
                  <c:v>2100</c:v>
                </c:pt>
                <c:pt idx="54">
                  <c:v>2600</c:v>
                </c:pt>
                <c:pt idx="55">
                  <c:v>12000</c:v>
                </c:pt>
                <c:pt idx="56">
                  <c:v>5400</c:v>
                </c:pt>
                <c:pt idx="57">
                  <c:v>3600</c:v>
                </c:pt>
                <c:pt idx="58">
                  <c:v>4000</c:v>
                </c:pt>
                <c:pt idx="59">
                  <c:v>3000</c:v>
                </c:pt>
              </c:numCache>
            </c:numRef>
          </c:val>
        </c:ser>
        <c:dLbls>
          <c:showLegendKey val="0"/>
          <c:showVal val="0"/>
          <c:showCatName val="0"/>
          <c:showSerName val="0"/>
          <c:showPercent val="0"/>
          <c:showBubbleSize val="0"/>
        </c:dLbls>
        <c:axId val="298595464"/>
        <c:axId val="298597032"/>
      </c:areaChart>
      <c:catAx>
        <c:axId val="2985954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97032"/>
        <c:crosses val="autoZero"/>
        <c:auto val="1"/>
        <c:lblAlgn val="ctr"/>
        <c:lblOffset val="100"/>
        <c:noMultiLvlLbl val="0"/>
      </c:catAx>
      <c:valAx>
        <c:axId val="298597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859546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381000</xdr:colOff>
      <xdr:row>66</xdr:row>
      <xdr:rowOff>33337</xdr:rowOff>
    </xdr:from>
    <xdr:to>
      <xdr:col>5</xdr:col>
      <xdr:colOff>457200</xdr:colOff>
      <xdr:row>81</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981075</xdr:colOff>
      <xdr:row>65</xdr:row>
      <xdr:rowOff>128587</xdr:rowOff>
    </xdr:from>
    <xdr:to>
      <xdr:col>10</xdr:col>
      <xdr:colOff>428625</xdr:colOff>
      <xdr:row>80</xdr:row>
      <xdr:rowOff>157162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190500</xdr:colOff>
      <xdr:row>65</xdr:row>
      <xdr:rowOff>71437</xdr:rowOff>
    </xdr:from>
    <xdr:to>
      <xdr:col>15</xdr:col>
      <xdr:colOff>9525</xdr:colOff>
      <xdr:row>80</xdr:row>
      <xdr:rowOff>100012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476250</xdr:colOff>
      <xdr:row>10</xdr:row>
      <xdr:rowOff>28575</xdr:rowOff>
    </xdr:from>
    <xdr:to>
      <xdr:col>4</xdr:col>
      <xdr:colOff>933450</xdr:colOff>
      <xdr:row>24</xdr:row>
      <xdr:rowOff>19050</xdr:rowOff>
    </xdr:to>
    <mc:AlternateContent xmlns:mc="http://schemas.openxmlformats.org/markup-compatibility/2006">
      <mc:Choice xmlns:a14="http://schemas.microsoft.com/office/drawing/2010/main" Requires="a14">
        <xdr:graphicFrame macro="">
          <xdr:nvGraphicFramePr>
            <xdr:cNvPr id="5"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600325" y="18383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733425</xdr:colOff>
      <xdr:row>12</xdr:row>
      <xdr:rowOff>85725</xdr:rowOff>
    </xdr:from>
    <xdr:to>
      <xdr:col>7</xdr:col>
      <xdr:colOff>561975</xdr:colOff>
      <xdr:row>26</xdr:row>
      <xdr:rowOff>76200</xdr:rowOff>
    </xdr:to>
    <mc:AlternateContent xmlns:mc="http://schemas.openxmlformats.org/markup-compatibility/2006">
      <mc:Choice xmlns:a14="http://schemas.microsoft.com/office/drawing/2010/main" Requires="a14">
        <xdr:graphicFrame macro="">
          <xdr:nvGraphicFramePr>
            <xdr:cNvPr id="6" name="Discription"/>
            <xdr:cNvGraphicFramePr/>
          </xdr:nvGraphicFramePr>
          <xdr:xfrm>
            <a:off x="0" y="0"/>
            <a:ext cx="0" cy="0"/>
          </xdr:xfrm>
          <a:graphic>
            <a:graphicData uri="http://schemas.microsoft.com/office/drawing/2010/slicer">
              <sle:slicer xmlns:sle="http://schemas.microsoft.com/office/drawing/2010/slicer" name="Discription"/>
            </a:graphicData>
          </a:graphic>
        </xdr:graphicFrame>
      </mc:Choice>
      <mc:Fallback>
        <xdr:sp macro="" textlink="">
          <xdr:nvSpPr>
            <xdr:cNvPr id="0" name=""/>
            <xdr:cNvSpPr>
              <a:spLocks noTextEdit="1"/>
            </xdr:cNvSpPr>
          </xdr:nvSpPr>
          <xdr:spPr>
            <a:xfrm>
              <a:off x="5229225" y="2257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762000</xdr:colOff>
      <xdr:row>15</xdr:row>
      <xdr:rowOff>114300</xdr:rowOff>
    </xdr:from>
    <xdr:to>
      <xdr:col>10</xdr:col>
      <xdr:colOff>57150</xdr:colOff>
      <xdr:row>29</xdr:row>
      <xdr:rowOff>104775</xdr:rowOff>
    </xdr:to>
    <mc:AlternateContent xmlns:mc="http://schemas.openxmlformats.org/markup-compatibility/2006">
      <mc:Choice xmlns:a14="http://schemas.microsoft.com/office/drawing/2010/main" Requires="a14">
        <xdr:graphicFrame macro="">
          <xdr:nvGraphicFramePr>
            <xdr:cNvPr id="7" name="Actual amount"/>
            <xdr:cNvGraphicFramePr/>
          </xdr:nvGraphicFramePr>
          <xdr:xfrm>
            <a:off x="0" y="0"/>
            <a:ext cx="0" cy="0"/>
          </xdr:xfrm>
          <a:graphic>
            <a:graphicData uri="http://schemas.microsoft.com/office/drawing/2010/slicer">
              <sle:slicer xmlns:sle="http://schemas.microsoft.com/office/drawing/2010/slicer" name="Actual amount"/>
            </a:graphicData>
          </a:graphic>
        </xdr:graphicFrame>
      </mc:Choice>
      <mc:Fallback>
        <xdr:sp macro="" textlink="">
          <xdr:nvSpPr>
            <xdr:cNvPr id="0" name=""/>
            <xdr:cNvSpPr>
              <a:spLocks noTextEdit="1"/>
            </xdr:cNvSpPr>
          </xdr:nvSpPr>
          <xdr:spPr>
            <a:xfrm>
              <a:off x="7943850" y="2828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371475</xdr:colOff>
      <xdr:row>0</xdr:row>
      <xdr:rowOff>9525</xdr:rowOff>
    </xdr:from>
    <xdr:to>
      <xdr:col>19</xdr:col>
      <xdr:colOff>628650</xdr:colOff>
      <xdr:row>5</xdr:row>
      <xdr:rowOff>171450</xdr:rowOff>
    </xdr:to>
    <xdr:sp macro="" textlink="">
      <xdr:nvSpPr>
        <xdr:cNvPr id="2" name="Rounded Rectangle 1"/>
        <xdr:cNvSpPr/>
      </xdr:nvSpPr>
      <xdr:spPr>
        <a:xfrm>
          <a:off x="1057275" y="9525"/>
          <a:ext cx="12601575" cy="10668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IN" sz="1100"/>
        </a:p>
      </xdr:txBody>
    </xdr:sp>
    <xdr:clientData/>
  </xdr:twoCellAnchor>
  <xdr:twoCellAnchor>
    <xdr:from>
      <xdr:col>5</xdr:col>
      <xdr:colOff>28575</xdr:colOff>
      <xdr:row>1</xdr:row>
      <xdr:rowOff>85726</xdr:rowOff>
    </xdr:from>
    <xdr:to>
      <xdr:col>17</xdr:col>
      <xdr:colOff>76200</xdr:colOff>
      <xdr:row>4</xdr:row>
      <xdr:rowOff>19051</xdr:rowOff>
    </xdr:to>
    <xdr:sp macro="" textlink="">
      <xdr:nvSpPr>
        <xdr:cNvPr id="3" name="TextBox 2"/>
        <xdr:cNvSpPr txBox="1"/>
      </xdr:nvSpPr>
      <xdr:spPr>
        <a:xfrm>
          <a:off x="3457575" y="266701"/>
          <a:ext cx="8277225" cy="476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PERSONAL</a:t>
          </a:r>
          <a:r>
            <a:rPr lang="en-IN" sz="2400" b="1" baseline="0"/>
            <a:t> FINACE BUDGET DASHBOARD</a:t>
          </a:r>
          <a:endParaRPr lang="en-IN" sz="2400" b="1"/>
        </a:p>
      </xdr:txBody>
    </xdr:sp>
    <xdr:clientData/>
  </xdr:twoCellAnchor>
  <xdr:twoCellAnchor>
    <xdr:from>
      <xdr:col>2</xdr:col>
      <xdr:colOff>95249</xdr:colOff>
      <xdr:row>8</xdr:row>
      <xdr:rowOff>19049</xdr:rowOff>
    </xdr:from>
    <xdr:to>
      <xdr:col>7</xdr:col>
      <xdr:colOff>600074</xdr:colOff>
      <xdr:row>14</xdr:row>
      <xdr:rowOff>142874</xdr:rowOff>
    </xdr:to>
    <xdr:sp macro="" textlink="">
      <xdr:nvSpPr>
        <xdr:cNvPr id="4" name="Rounded Rectangle 3"/>
        <xdr:cNvSpPr/>
      </xdr:nvSpPr>
      <xdr:spPr>
        <a:xfrm>
          <a:off x="1466849" y="1466849"/>
          <a:ext cx="3933825" cy="12096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104775</xdr:colOff>
      <xdr:row>8</xdr:row>
      <xdr:rowOff>47625</xdr:rowOff>
    </xdr:from>
    <xdr:to>
      <xdr:col>4</xdr:col>
      <xdr:colOff>247650</xdr:colOff>
      <xdr:row>14</xdr:row>
      <xdr:rowOff>123825</xdr:rowOff>
    </xdr:to>
    <xdr:sp macro="" textlink="">
      <xdr:nvSpPr>
        <xdr:cNvPr id="6" name="Rounded Rectangle 5"/>
        <xdr:cNvSpPr/>
      </xdr:nvSpPr>
      <xdr:spPr>
        <a:xfrm>
          <a:off x="1476375" y="1495425"/>
          <a:ext cx="1514475" cy="11620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533400</xdr:colOff>
      <xdr:row>8</xdr:row>
      <xdr:rowOff>104774</xdr:rowOff>
    </xdr:from>
    <xdr:to>
      <xdr:col>7</xdr:col>
      <xdr:colOff>190500</xdr:colOff>
      <xdr:row>10</xdr:row>
      <xdr:rowOff>133349</xdr:rowOff>
    </xdr:to>
    <xdr:sp macro="" textlink="">
      <xdr:nvSpPr>
        <xdr:cNvPr id="8" name="TextBox 7"/>
        <xdr:cNvSpPr txBox="1"/>
      </xdr:nvSpPr>
      <xdr:spPr>
        <a:xfrm>
          <a:off x="3276600" y="1552574"/>
          <a:ext cx="1714500" cy="39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Total Expences</a:t>
          </a:r>
        </a:p>
      </xdr:txBody>
    </xdr:sp>
    <xdr:clientData/>
  </xdr:twoCellAnchor>
  <xdr:twoCellAnchor>
    <xdr:from>
      <xdr:col>5</xdr:col>
      <xdr:colOff>9525</xdr:colOff>
      <xdr:row>11</xdr:row>
      <xdr:rowOff>19050</xdr:rowOff>
    </xdr:from>
    <xdr:to>
      <xdr:col>7</xdr:col>
      <xdr:colOff>209550</xdr:colOff>
      <xdr:row>12</xdr:row>
      <xdr:rowOff>66675</xdr:rowOff>
    </xdr:to>
    <xdr:sp macro="" textlink="Sheet2!H6">
      <xdr:nvSpPr>
        <xdr:cNvPr id="9" name="TextBox 8"/>
        <xdr:cNvSpPr txBox="1"/>
      </xdr:nvSpPr>
      <xdr:spPr>
        <a:xfrm>
          <a:off x="3438525" y="2009775"/>
          <a:ext cx="1571625"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A0DDD7C-742D-4466-89AE-02FA4B36F960}" type="TxLink">
            <a:rPr lang="en-US" sz="1400" b="1" i="0" u="none" strike="noStrike">
              <a:solidFill>
                <a:srgbClr val="000000"/>
              </a:solidFill>
              <a:latin typeface="Aptos Narrow"/>
            </a:rPr>
            <a:t>283000</a:t>
          </a:fld>
          <a:endParaRPr lang="en-IN" sz="1400" b="1"/>
        </a:p>
      </xdr:txBody>
    </xdr:sp>
    <xdr:clientData/>
  </xdr:twoCellAnchor>
  <xdr:twoCellAnchor>
    <xdr:from>
      <xdr:col>8</xdr:col>
      <xdr:colOff>571500</xdr:colOff>
      <xdr:row>7</xdr:row>
      <xdr:rowOff>161925</xdr:rowOff>
    </xdr:from>
    <xdr:to>
      <xdr:col>13</xdr:col>
      <xdr:colOff>590550</xdr:colOff>
      <xdr:row>14</xdr:row>
      <xdr:rowOff>142875</xdr:rowOff>
    </xdr:to>
    <xdr:sp macro="" textlink="">
      <xdr:nvSpPr>
        <xdr:cNvPr id="14" name="Rounded Rectangle 13"/>
        <xdr:cNvSpPr/>
      </xdr:nvSpPr>
      <xdr:spPr>
        <a:xfrm>
          <a:off x="6057900" y="1428750"/>
          <a:ext cx="3448050" cy="12477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590550</xdr:colOff>
      <xdr:row>7</xdr:row>
      <xdr:rowOff>161925</xdr:rowOff>
    </xdr:from>
    <xdr:to>
      <xdr:col>11</xdr:col>
      <xdr:colOff>28575</xdr:colOff>
      <xdr:row>14</xdr:row>
      <xdr:rowOff>114300</xdr:rowOff>
    </xdr:to>
    <xdr:sp macro="" textlink="">
      <xdr:nvSpPr>
        <xdr:cNvPr id="15" name="Rounded Rectangle 14"/>
        <xdr:cNvSpPr/>
      </xdr:nvSpPr>
      <xdr:spPr>
        <a:xfrm>
          <a:off x="6076950" y="1428750"/>
          <a:ext cx="1495425" cy="12192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495300</xdr:colOff>
      <xdr:row>9</xdr:row>
      <xdr:rowOff>104775</xdr:rowOff>
    </xdr:from>
    <xdr:to>
      <xdr:col>13</xdr:col>
      <xdr:colOff>361950</xdr:colOff>
      <xdr:row>11</xdr:row>
      <xdr:rowOff>38100</xdr:rowOff>
    </xdr:to>
    <xdr:sp macro="" textlink="">
      <xdr:nvSpPr>
        <xdr:cNvPr id="16" name="TextBox 15"/>
        <xdr:cNvSpPr txBox="1"/>
      </xdr:nvSpPr>
      <xdr:spPr>
        <a:xfrm>
          <a:off x="8039100" y="1733550"/>
          <a:ext cx="123825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rPr>
            <a:t>Average</a:t>
          </a:r>
        </a:p>
      </xdr:txBody>
    </xdr:sp>
    <xdr:clientData/>
  </xdr:twoCellAnchor>
  <xdr:twoCellAnchor>
    <xdr:from>
      <xdr:col>11</xdr:col>
      <xdr:colOff>390525</xdr:colOff>
      <xdr:row>12</xdr:row>
      <xdr:rowOff>9525</xdr:rowOff>
    </xdr:from>
    <xdr:to>
      <xdr:col>13</xdr:col>
      <xdr:colOff>561975</xdr:colOff>
      <xdr:row>13</xdr:row>
      <xdr:rowOff>104775</xdr:rowOff>
    </xdr:to>
    <xdr:sp macro="" textlink="Sheet2!H15">
      <xdr:nvSpPr>
        <xdr:cNvPr id="17" name="TextBox 16"/>
        <xdr:cNvSpPr txBox="1"/>
      </xdr:nvSpPr>
      <xdr:spPr>
        <a:xfrm>
          <a:off x="7934325" y="2181225"/>
          <a:ext cx="154305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BDDAC0-46D0-4C06-ADA8-A700DAD4534E}" type="TxLink">
            <a:rPr lang="en-US" sz="1400" b="1" i="0" u="none" strike="noStrike">
              <a:ln>
                <a:noFill/>
              </a:ln>
              <a:solidFill>
                <a:srgbClr val="000000"/>
              </a:solidFill>
              <a:latin typeface="Aptos Narrow"/>
            </a:rPr>
            <a:t>4796.610169</a:t>
          </a:fld>
          <a:endParaRPr lang="en-IN" sz="1400" b="1">
            <a:ln>
              <a:noFill/>
            </a:ln>
          </a:endParaRPr>
        </a:p>
      </xdr:txBody>
    </xdr:sp>
    <xdr:clientData/>
  </xdr:twoCellAnchor>
  <xdr:twoCellAnchor>
    <xdr:from>
      <xdr:col>14</xdr:col>
      <xdr:colOff>561976</xdr:colOff>
      <xdr:row>7</xdr:row>
      <xdr:rowOff>142875</xdr:rowOff>
    </xdr:from>
    <xdr:to>
      <xdr:col>20</xdr:col>
      <xdr:colOff>514350</xdr:colOff>
      <xdr:row>14</xdr:row>
      <xdr:rowOff>142875</xdr:rowOff>
    </xdr:to>
    <xdr:sp macro="" textlink="">
      <xdr:nvSpPr>
        <xdr:cNvPr id="18" name="Rounded Rectangle 17"/>
        <xdr:cNvSpPr/>
      </xdr:nvSpPr>
      <xdr:spPr>
        <a:xfrm>
          <a:off x="10163176" y="1409700"/>
          <a:ext cx="4067174" cy="126682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ln>
              <a:noFill/>
            </a:ln>
          </a:endParaRPr>
        </a:p>
      </xdr:txBody>
    </xdr:sp>
    <xdr:clientData/>
  </xdr:twoCellAnchor>
  <xdr:twoCellAnchor>
    <xdr:from>
      <xdr:col>14</xdr:col>
      <xdr:colOff>561975</xdr:colOff>
      <xdr:row>7</xdr:row>
      <xdr:rowOff>152399</xdr:rowOff>
    </xdr:from>
    <xdr:to>
      <xdr:col>16</xdr:col>
      <xdr:colOff>485775</xdr:colOff>
      <xdr:row>14</xdr:row>
      <xdr:rowOff>152399</xdr:rowOff>
    </xdr:to>
    <xdr:sp macro="" textlink="">
      <xdr:nvSpPr>
        <xdr:cNvPr id="19" name="Rounded Rectangle 18"/>
        <xdr:cNvSpPr/>
      </xdr:nvSpPr>
      <xdr:spPr>
        <a:xfrm>
          <a:off x="10163175" y="1419224"/>
          <a:ext cx="1295400" cy="12668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657225</xdr:colOff>
      <xdr:row>8</xdr:row>
      <xdr:rowOff>95250</xdr:rowOff>
    </xdr:from>
    <xdr:to>
      <xdr:col>20</xdr:col>
      <xdr:colOff>257175</xdr:colOff>
      <xdr:row>9</xdr:row>
      <xdr:rowOff>171450</xdr:rowOff>
    </xdr:to>
    <xdr:sp macro="" textlink="">
      <xdr:nvSpPr>
        <xdr:cNvPr id="20" name="TextBox 19"/>
        <xdr:cNvSpPr txBox="1"/>
      </xdr:nvSpPr>
      <xdr:spPr>
        <a:xfrm>
          <a:off x="11630025" y="1543050"/>
          <a:ext cx="2343150" cy="257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Avg expensive by month</a:t>
          </a:r>
        </a:p>
      </xdr:txBody>
    </xdr:sp>
    <xdr:clientData/>
  </xdr:twoCellAnchor>
  <xdr:twoCellAnchor>
    <xdr:from>
      <xdr:col>17</xdr:col>
      <xdr:colOff>190500</xdr:colOff>
      <xdr:row>11</xdr:row>
      <xdr:rowOff>114300</xdr:rowOff>
    </xdr:from>
    <xdr:to>
      <xdr:col>19</xdr:col>
      <xdr:colOff>514350</xdr:colOff>
      <xdr:row>13</xdr:row>
      <xdr:rowOff>47625</xdr:rowOff>
    </xdr:to>
    <xdr:sp macro="" textlink="Sheet2!H29">
      <xdr:nvSpPr>
        <xdr:cNvPr id="21" name="TextBox 20"/>
        <xdr:cNvSpPr txBox="1"/>
      </xdr:nvSpPr>
      <xdr:spPr>
        <a:xfrm>
          <a:off x="11849100" y="2105025"/>
          <a:ext cx="1695450"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F154AB-EE37-4482-B5C0-4C249901BF90}" type="TxLink">
            <a:rPr lang="en-US" sz="1400" b="1" i="0" u="none" strike="noStrike">
              <a:ln>
                <a:noFill/>
              </a:ln>
              <a:solidFill>
                <a:srgbClr val="000000"/>
              </a:solidFill>
              <a:latin typeface="Aptos Narrow"/>
            </a:rPr>
            <a:t>4780</a:t>
          </a:fld>
          <a:endParaRPr lang="en-IN" sz="1400" b="1">
            <a:ln>
              <a:noFill/>
            </a:ln>
          </a:endParaRPr>
        </a:p>
      </xdr:txBody>
    </xdr:sp>
    <xdr:clientData/>
  </xdr:twoCellAnchor>
  <xdr:twoCellAnchor editAs="oneCell">
    <xdr:from>
      <xdr:col>2</xdr:col>
      <xdr:colOff>0</xdr:colOff>
      <xdr:row>17</xdr:row>
      <xdr:rowOff>0</xdr:rowOff>
    </xdr:from>
    <xdr:to>
      <xdr:col>4</xdr:col>
      <xdr:colOff>457200</xdr:colOff>
      <xdr:row>30</xdr:row>
      <xdr:rowOff>171450</xdr:rowOff>
    </xdr:to>
    <mc:AlternateContent xmlns:mc="http://schemas.openxmlformats.org/markup-compatibility/2006">
      <mc:Choice xmlns:a14="http://schemas.microsoft.com/office/drawing/2010/main" Requires="a14">
        <xdr:graphicFrame macro="">
          <xdr:nvGraphicFramePr>
            <xdr:cNvPr id="22"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371600" y="3076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33</xdr:row>
      <xdr:rowOff>0</xdr:rowOff>
    </xdr:from>
    <xdr:to>
      <xdr:col>4</xdr:col>
      <xdr:colOff>457200</xdr:colOff>
      <xdr:row>46</xdr:row>
      <xdr:rowOff>171450</xdr:rowOff>
    </xdr:to>
    <mc:AlternateContent xmlns:mc="http://schemas.openxmlformats.org/markup-compatibility/2006">
      <mc:Choice xmlns:a14="http://schemas.microsoft.com/office/drawing/2010/main" Requires="a14">
        <xdr:graphicFrame macro="">
          <xdr:nvGraphicFramePr>
            <xdr:cNvPr id="23" name="Discription 1"/>
            <xdr:cNvGraphicFramePr/>
          </xdr:nvGraphicFramePr>
          <xdr:xfrm>
            <a:off x="0" y="0"/>
            <a:ext cx="0" cy="0"/>
          </xdr:xfrm>
          <a:graphic>
            <a:graphicData uri="http://schemas.microsoft.com/office/drawing/2010/slicer">
              <sle:slicer xmlns:sle="http://schemas.microsoft.com/office/drawing/2010/slicer" name="Discription 1"/>
            </a:graphicData>
          </a:graphic>
        </xdr:graphicFrame>
      </mc:Choice>
      <mc:Fallback>
        <xdr:sp macro="" textlink="">
          <xdr:nvSpPr>
            <xdr:cNvPr id="0" name=""/>
            <xdr:cNvSpPr>
              <a:spLocks noTextEdit="1"/>
            </xdr:cNvSpPr>
          </xdr:nvSpPr>
          <xdr:spPr>
            <a:xfrm>
              <a:off x="1371600" y="5972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49</xdr:row>
      <xdr:rowOff>0</xdr:rowOff>
    </xdr:from>
    <xdr:to>
      <xdr:col>4</xdr:col>
      <xdr:colOff>457200</xdr:colOff>
      <xdr:row>62</xdr:row>
      <xdr:rowOff>171450</xdr:rowOff>
    </xdr:to>
    <mc:AlternateContent xmlns:mc="http://schemas.openxmlformats.org/markup-compatibility/2006">
      <mc:Choice xmlns:a14="http://schemas.microsoft.com/office/drawing/2010/main" Requires="a14">
        <xdr:graphicFrame macro="">
          <xdr:nvGraphicFramePr>
            <xdr:cNvPr id="24" name="Actual amount 1"/>
            <xdr:cNvGraphicFramePr/>
          </xdr:nvGraphicFramePr>
          <xdr:xfrm>
            <a:off x="0" y="0"/>
            <a:ext cx="0" cy="0"/>
          </xdr:xfrm>
          <a:graphic>
            <a:graphicData uri="http://schemas.microsoft.com/office/drawing/2010/slicer">
              <sle:slicer xmlns:sle="http://schemas.microsoft.com/office/drawing/2010/slicer" name="Actual amount 1"/>
            </a:graphicData>
          </a:graphic>
        </xdr:graphicFrame>
      </mc:Choice>
      <mc:Fallback>
        <xdr:sp macro="" textlink="">
          <xdr:nvSpPr>
            <xdr:cNvPr id="0" name=""/>
            <xdr:cNvSpPr>
              <a:spLocks noTextEdit="1"/>
            </xdr:cNvSpPr>
          </xdr:nvSpPr>
          <xdr:spPr>
            <a:xfrm>
              <a:off x="1371600" y="8867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0</xdr:colOff>
      <xdr:row>17</xdr:row>
      <xdr:rowOff>0</xdr:rowOff>
    </xdr:from>
    <xdr:to>
      <xdr:col>12</xdr:col>
      <xdr:colOff>457200</xdr:colOff>
      <xdr:row>32</xdr:row>
      <xdr:rowOff>28575</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35</xdr:row>
      <xdr:rowOff>0</xdr:rowOff>
    </xdr:from>
    <xdr:to>
      <xdr:col>12</xdr:col>
      <xdr:colOff>552450</xdr:colOff>
      <xdr:row>50</xdr:row>
      <xdr:rowOff>28575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17</xdr:row>
      <xdr:rowOff>0</xdr:rowOff>
    </xdr:from>
    <xdr:to>
      <xdr:col>21</xdr:col>
      <xdr:colOff>457200</xdr:colOff>
      <xdr:row>32</xdr:row>
      <xdr:rowOff>28575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3.496540740744" createdVersion="5" refreshedVersion="5" minRefreshableVersion="3" recordCount="60">
  <cacheSource type="worksheet">
    <worksheetSource ref="A1:E61" sheet="Sheet2"/>
  </cacheSource>
  <cacheFields count="5">
    <cacheField name="Date" numFmtId="14">
      <sharedItems containsSemiMixedTypes="0" containsNonDate="0" containsDate="1" containsString="0" minDate="2025-01-05T00:00:00" maxDate="2025-12-27T00:00:00" count="60">
        <d v="2025-01-05T00:00:00"/>
        <d v="2025-01-08T00:00:00"/>
        <d v="2025-01-12T00:00:00"/>
        <d v="2025-01-18T00:00:00"/>
        <d v="2025-01-25T00:00:00"/>
        <d v="2025-02-05T00:00:00"/>
        <d v="2025-02-09T00:00:00"/>
        <d v="2025-02-12T00:00:00"/>
        <d v="2025-02-18T00:00:00"/>
        <d v="2025-02-24T00:00:00"/>
        <d v="2025-03-05T00:00:00"/>
        <d v="2025-03-08T00:00:00"/>
        <d v="2025-03-14T00:00:00"/>
        <d v="2025-03-20T00:00:00"/>
        <d v="2025-03-26T00:00:00"/>
        <d v="2025-04-05T00:00:00"/>
        <d v="2025-04-09T00:00:00"/>
        <d v="2025-04-13T00:00:00"/>
        <d v="2025-04-19T00:00:00"/>
        <d v="2025-04-25T00:00:00"/>
        <d v="2025-05-05T00:00:00"/>
        <d v="2025-05-08T00:00:00"/>
        <d v="2025-05-14T00:00:00"/>
        <d v="2025-05-20T00:00:00"/>
        <d v="2025-05-26T00:00:00"/>
        <d v="2025-06-05T00:00:00"/>
        <d v="2025-06-09T00:00:00"/>
        <d v="2025-06-13T00:00:00"/>
        <d v="2025-06-18T00:00:00"/>
        <d v="2025-06-25T00:00:00"/>
        <d v="2025-07-05T00:00:00"/>
        <d v="2025-07-08T00:00:00"/>
        <d v="2025-07-12T00:00:00"/>
        <d v="2025-07-19T00:00:00"/>
        <d v="2025-07-26T00:00:00"/>
        <d v="2025-08-05T00:00:00"/>
        <d v="2025-08-09T00:00:00"/>
        <d v="2025-08-14T00:00:00"/>
        <d v="2025-08-20T00:00:00"/>
        <d v="2025-08-26T00:00:00"/>
        <d v="2025-09-05T00:00:00"/>
        <d v="2025-09-08T00:00:00"/>
        <d v="2025-09-13T00:00:00"/>
        <d v="2025-09-18T00:00:00"/>
        <d v="2025-09-25T00:00:00"/>
        <d v="2025-10-05T00:00:00"/>
        <d v="2025-10-09T00:00:00"/>
        <d v="2025-10-14T00:00:00"/>
        <d v="2025-10-20T00:00:00"/>
        <d v="2025-10-26T00:00:00"/>
        <d v="2025-11-05T00:00:00"/>
        <d v="2025-11-08T00:00:00"/>
        <d v="2025-11-13T00:00:00"/>
        <d v="2025-11-19T00:00:00"/>
        <d v="2025-11-25T00:00:00"/>
        <d v="2025-12-05T00:00:00"/>
        <d v="2025-12-09T00:00:00"/>
        <d v="2025-12-14T00:00:00"/>
        <d v="2025-12-20T00:00:00"/>
        <d v="2025-12-26T00:00:00"/>
      </sharedItems>
    </cacheField>
    <cacheField name="Month" numFmtId="0">
      <sharedItems count="12">
        <s v="January"/>
        <s v="February"/>
        <s v="March"/>
        <s v="April"/>
        <s v="May"/>
        <s v="June"/>
        <s v="July"/>
        <s v="August"/>
        <s v="September"/>
        <s v="October"/>
        <s v="November"/>
        <s v="December"/>
      </sharedItems>
    </cacheField>
    <cacheField name="Category" numFmtId="0">
      <sharedItems count="5">
        <s v="Rent"/>
        <s v="Food"/>
        <s v="Transport"/>
        <s v="Entertainment"/>
        <s v="Utilities"/>
      </sharedItems>
    </cacheField>
    <cacheField name="Discription" numFmtId="0">
      <sharedItems count="14">
        <s v="House Rent"/>
        <s v="Groceries"/>
        <s v="Bus&amp;Fuel"/>
        <s v="Movies"/>
        <s v="Electricity bill"/>
        <s v="Water&amp;Power"/>
        <s v="Bus pass"/>
        <s v="Outgoing"/>
        <s v="Fuel"/>
        <s v="Shopping"/>
        <s v="Trip"/>
        <s v="Festival Shopping"/>
        <s v="Travel"/>
        <s v="Year-End Party"/>
      </sharedItems>
    </cacheField>
    <cacheField name="Actual amount" numFmtId="0">
      <sharedItems containsSemiMixedTypes="0" containsString="0" containsNumber="1" containsInteger="1" minValue="1500" maxValue="12000" count="33">
        <n v="12000"/>
        <n v="4200"/>
        <n v="2800"/>
        <n v="2300"/>
        <n v="2600"/>
        <n v="5100"/>
        <n v="3200"/>
        <n v="1900"/>
        <n v="2400"/>
        <n v="3900"/>
        <n v="1500"/>
        <n v="4500"/>
        <n v="3000"/>
        <n v="2200"/>
        <n v="2500"/>
        <n v="4800"/>
        <n v="2900"/>
        <n v="2100"/>
        <n v="5200"/>
        <n v="3300"/>
        <n v="2700"/>
        <n v="4100"/>
        <n v="1800"/>
        <n v="4700"/>
        <n v="3100"/>
        <n v="4300"/>
        <n v="2000"/>
        <n v="5000"/>
        <n v="3500"/>
        <n v="4600"/>
        <n v="5400"/>
        <n v="3600"/>
        <n v="40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
  <r>
    <x v="0"/>
    <x v="0"/>
    <x v="0"/>
    <x v="0"/>
    <x v="0"/>
  </r>
  <r>
    <x v="1"/>
    <x v="0"/>
    <x v="1"/>
    <x v="1"/>
    <x v="1"/>
  </r>
  <r>
    <x v="2"/>
    <x v="0"/>
    <x v="2"/>
    <x v="2"/>
    <x v="2"/>
  </r>
  <r>
    <x v="3"/>
    <x v="0"/>
    <x v="3"/>
    <x v="3"/>
    <x v="3"/>
  </r>
  <r>
    <x v="4"/>
    <x v="0"/>
    <x v="4"/>
    <x v="4"/>
    <x v="4"/>
  </r>
  <r>
    <x v="5"/>
    <x v="1"/>
    <x v="0"/>
    <x v="0"/>
    <x v="0"/>
  </r>
  <r>
    <x v="6"/>
    <x v="1"/>
    <x v="1"/>
    <x v="1"/>
    <x v="5"/>
  </r>
  <r>
    <x v="7"/>
    <x v="1"/>
    <x v="2"/>
    <x v="2"/>
    <x v="6"/>
  </r>
  <r>
    <x v="8"/>
    <x v="1"/>
    <x v="3"/>
    <x v="3"/>
    <x v="7"/>
  </r>
  <r>
    <x v="9"/>
    <x v="1"/>
    <x v="4"/>
    <x v="5"/>
    <x v="8"/>
  </r>
  <r>
    <x v="10"/>
    <x v="2"/>
    <x v="0"/>
    <x v="0"/>
    <x v="0"/>
  </r>
  <r>
    <x v="11"/>
    <x v="2"/>
    <x v="1"/>
    <x v="1"/>
    <x v="9"/>
  </r>
  <r>
    <x v="12"/>
    <x v="2"/>
    <x v="2"/>
    <x v="6"/>
    <x v="4"/>
  </r>
  <r>
    <x v="13"/>
    <x v="2"/>
    <x v="3"/>
    <x v="7"/>
    <x v="10"/>
  </r>
  <r>
    <x v="14"/>
    <x v="2"/>
    <x v="4"/>
    <x v="4"/>
    <x v="3"/>
  </r>
  <r>
    <x v="15"/>
    <x v="3"/>
    <x v="0"/>
    <x v="0"/>
    <x v="0"/>
  </r>
  <r>
    <x v="16"/>
    <x v="3"/>
    <x v="1"/>
    <x v="1"/>
    <x v="11"/>
  </r>
  <r>
    <x v="17"/>
    <x v="3"/>
    <x v="2"/>
    <x v="8"/>
    <x v="12"/>
  </r>
  <r>
    <x v="18"/>
    <x v="3"/>
    <x v="3"/>
    <x v="3"/>
    <x v="13"/>
  </r>
  <r>
    <x v="19"/>
    <x v="3"/>
    <x v="4"/>
    <x v="4"/>
    <x v="14"/>
  </r>
  <r>
    <x v="20"/>
    <x v="4"/>
    <x v="0"/>
    <x v="0"/>
    <x v="0"/>
  </r>
  <r>
    <x v="21"/>
    <x v="4"/>
    <x v="1"/>
    <x v="1"/>
    <x v="15"/>
  </r>
  <r>
    <x v="22"/>
    <x v="4"/>
    <x v="2"/>
    <x v="8"/>
    <x v="16"/>
  </r>
  <r>
    <x v="23"/>
    <x v="4"/>
    <x v="3"/>
    <x v="9"/>
    <x v="17"/>
  </r>
  <r>
    <x v="24"/>
    <x v="4"/>
    <x v="4"/>
    <x v="4"/>
    <x v="4"/>
  </r>
  <r>
    <x v="25"/>
    <x v="5"/>
    <x v="0"/>
    <x v="0"/>
    <x v="0"/>
  </r>
  <r>
    <x v="26"/>
    <x v="5"/>
    <x v="1"/>
    <x v="1"/>
    <x v="18"/>
  </r>
  <r>
    <x v="27"/>
    <x v="5"/>
    <x v="2"/>
    <x v="8"/>
    <x v="19"/>
  </r>
  <r>
    <x v="28"/>
    <x v="5"/>
    <x v="3"/>
    <x v="10"/>
    <x v="2"/>
  </r>
  <r>
    <x v="29"/>
    <x v="5"/>
    <x v="4"/>
    <x v="4"/>
    <x v="20"/>
  </r>
  <r>
    <x v="30"/>
    <x v="6"/>
    <x v="0"/>
    <x v="0"/>
    <x v="0"/>
  </r>
  <r>
    <x v="31"/>
    <x v="6"/>
    <x v="1"/>
    <x v="1"/>
    <x v="21"/>
  </r>
  <r>
    <x v="32"/>
    <x v="6"/>
    <x v="2"/>
    <x v="6"/>
    <x v="4"/>
  </r>
  <r>
    <x v="33"/>
    <x v="6"/>
    <x v="3"/>
    <x v="3"/>
    <x v="22"/>
  </r>
  <r>
    <x v="34"/>
    <x v="6"/>
    <x v="4"/>
    <x v="4"/>
    <x v="8"/>
  </r>
  <r>
    <x v="35"/>
    <x v="7"/>
    <x v="0"/>
    <x v="0"/>
    <x v="0"/>
  </r>
  <r>
    <x v="36"/>
    <x v="7"/>
    <x v="1"/>
    <x v="1"/>
    <x v="23"/>
  </r>
  <r>
    <x v="37"/>
    <x v="7"/>
    <x v="2"/>
    <x v="8"/>
    <x v="24"/>
  </r>
  <r>
    <x v="38"/>
    <x v="7"/>
    <x v="3"/>
    <x v="9"/>
    <x v="13"/>
  </r>
  <r>
    <x v="39"/>
    <x v="7"/>
    <x v="4"/>
    <x v="4"/>
    <x v="14"/>
  </r>
  <r>
    <x v="40"/>
    <x v="8"/>
    <x v="0"/>
    <x v="0"/>
    <x v="0"/>
  </r>
  <r>
    <x v="41"/>
    <x v="8"/>
    <x v="1"/>
    <x v="1"/>
    <x v="25"/>
  </r>
  <r>
    <x v="42"/>
    <x v="8"/>
    <x v="2"/>
    <x v="6"/>
    <x v="20"/>
  </r>
  <r>
    <x v="43"/>
    <x v="8"/>
    <x v="3"/>
    <x v="7"/>
    <x v="26"/>
  </r>
  <r>
    <x v="44"/>
    <x v="8"/>
    <x v="4"/>
    <x v="4"/>
    <x v="8"/>
  </r>
  <r>
    <x v="45"/>
    <x v="9"/>
    <x v="0"/>
    <x v="0"/>
    <x v="0"/>
  </r>
  <r>
    <x v="46"/>
    <x v="9"/>
    <x v="1"/>
    <x v="1"/>
    <x v="27"/>
  </r>
  <r>
    <x v="47"/>
    <x v="9"/>
    <x v="2"/>
    <x v="8"/>
    <x v="6"/>
  </r>
  <r>
    <x v="48"/>
    <x v="9"/>
    <x v="3"/>
    <x v="11"/>
    <x v="28"/>
  </r>
  <r>
    <x v="49"/>
    <x v="9"/>
    <x v="4"/>
    <x v="4"/>
    <x v="2"/>
  </r>
  <r>
    <x v="50"/>
    <x v="10"/>
    <x v="0"/>
    <x v="0"/>
    <x v="0"/>
  </r>
  <r>
    <x v="51"/>
    <x v="10"/>
    <x v="1"/>
    <x v="1"/>
    <x v="29"/>
  </r>
  <r>
    <x v="52"/>
    <x v="10"/>
    <x v="2"/>
    <x v="8"/>
    <x v="12"/>
  </r>
  <r>
    <x v="53"/>
    <x v="10"/>
    <x v="3"/>
    <x v="3"/>
    <x v="17"/>
  </r>
  <r>
    <x v="54"/>
    <x v="10"/>
    <x v="4"/>
    <x v="4"/>
    <x v="4"/>
  </r>
  <r>
    <x v="55"/>
    <x v="11"/>
    <x v="0"/>
    <x v="0"/>
    <x v="0"/>
  </r>
  <r>
    <x v="56"/>
    <x v="11"/>
    <x v="1"/>
    <x v="1"/>
    <x v="30"/>
  </r>
  <r>
    <x v="57"/>
    <x v="11"/>
    <x v="2"/>
    <x v="12"/>
    <x v="31"/>
  </r>
  <r>
    <x v="58"/>
    <x v="11"/>
    <x v="3"/>
    <x v="13"/>
    <x v="32"/>
  </r>
  <r>
    <x v="59"/>
    <x v="11"/>
    <x v="4"/>
    <x v="4"/>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M3:N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pivotField showAll="0">
      <items count="15">
        <item x="6"/>
        <item x="2"/>
        <item x="4"/>
        <item x="11"/>
        <item x="8"/>
        <item x="1"/>
        <item x="0"/>
        <item x="3"/>
        <item x="7"/>
        <item x="9"/>
        <item x="12"/>
        <item x="10"/>
        <item x="5"/>
        <item x="13"/>
        <item t="default"/>
      </items>
    </pivotField>
    <pivotField dataField="1"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Actual amount" fld="4" baseField="0" baseItem="0"/>
  </dataFields>
  <chartFormats count="3">
    <chartFormat chart="1"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I3:J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showAll="0">
      <items count="6">
        <item x="3"/>
        <item x="1"/>
        <item x="0"/>
        <item x="2"/>
        <item x="4"/>
        <item t="default"/>
      </items>
    </pivotField>
    <pivotField showAll="0">
      <items count="15">
        <item x="6"/>
        <item x="2"/>
        <item x="4"/>
        <item x="11"/>
        <item x="8"/>
        <item x="1"/>
        <item x="0"/>
        <item x="3"/>
        <item x="7"/>
        <item x="9"/>
        <item x="12"/>
        <item x="10"/>
        <item x="5"/>
        <item x="13"/>
        <item t="default"/>
      </items>
    </pivotField>
    <pivotField dataField="1" showAll="0">
      <items count="34">
        <item x="10"/>
        <item x="22"/>
        <item x="7"/>
        <item x="26"/>
        <item x="17"/>
        <item x="13"/>
        <item x="3"/>
        <item x="8"/>
        <item x="14"/>
        <item x="4"/>
        <item x="20"/>
        <item x="2"/>
        <item x="16"/>
        <item x="12"/>
        <item x="24"/>
        <item x="6"/>
        <item x="19"/>
        <item x="28"/>
        <item x="31"/>
        <item x="9"/>
        <item x="32"/>
        <item x="21"/>
        <item x="1"/>
        <item x="25"/>
        <item x="11"/>
        <item x="29"/>
        <item x="23"/>
        <item x="15"/>
        <item x="27"/>
        <item x="5"/>
        <item x="18"/>
        <item x="30"/>
        <item x="0"/>
        <item t="default"/>
      </items>
    </pivotField>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Actual amount" fld="4" baseField="0" baseItem="0"/>
  </dataFields>
  <chartFormats count="64">
    <chartFormat chart="11"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5" format="63" series="1">
      <pivotArea type="data" outline="0" fieldPosition="0">
        <references count="1">
          <reference field="4294967294" count="1" selected="0">
            <x v="0"/>
          </reference>
        </references>
      </pivotArea>
    </chartFormat>
    <chartFormat chart="15" format="64">
      <pivotArea type="data" outline="0" fieldPosition="0">
        <references count="2">
          <reference field="4294967294" count="1" selected="0">
            <x v="0"/>
          </reference>
          <reference field="0" count="1" selected="0">
            <x v="0"/>
          </reference>
        </references>
      </pivotArea>
    </chartFormat>
    <chartFormat chart="15" format="65">
      <pivotArea type="data" outline="0" fieldPosition="0">
        <references count="2">
          <reference field="4294967294" count="1" selected="0">
            <x v="0"/>
          </reference>
          <reference field="0" count="1" selected="0">
            <x v="1"/>
          </reference>
        </references>
      </pivotArea>
    </chartFormat>
    <chartFormat chart="15" format="66">
      <pivotArea type="data" outline="0" fieldPosition="0">
        <references count="2">
          <reference field="4294967294" count="1" selected="0">
            <x v="0"/>
          </reference>
          <reference field="0" count="1" selected="0">
            <x v="2"/>
          </reference>
        </references>
      </pivotArea>
    </chartFormat>
    <chartFormat chart="15" format="67">
      <pivotArea type="data" outline="0" fieldPosition="0">
        <references count="2">
          <reference field="4294967294" count="1" selected="0">
            <x v="0"/>
          </reference>
          <reference field="0" count="1" selected="0">
            <x v="3"/>
          </reference>
        </references>
      </pivotArea>
    </chartFormat>
    <chartFormat chart="15" format="68">
      <pivotArea type="data" outline="0" fieldPosition="0">
        <references count="2">
          <reference field="4294967294" count="1" selected="0">
            <x v="0"/>
          </reference>
          <reference field="0" count="1" selected="0">
            <x v="4"/>
          </reference>
        </references>
      </pivotArea>
    </chartFormat>
    <chartFormat chart="15" format="69">
      <pivotArea type="data" outline="0" fieldPosition="0">
        <references count="2">
          <reference field="4294967294" count="1" selected="0">
            <x v="0"/>
          </reference>
          <reference field="0" count="1" selected="0">
            <x v="5"/>
          </reference>
        </references>
      </pivotArea>
    </chartFormat>
    <chartFormat chart="15" format="70">
      <pivotArea type="data" outline="0" fieldPosition="0">
        <references count="2">
          <reference field="4294967294" count="1" selected="0">
            <x v="0"/>
          </reference>
          <reference field="0" count="1" selected="0">
            <x v="6"/>
          </reference>
        </references>
      </pivotArea>
    </chartFormat>
    <chartFormat chart="15" format="71">
      <pivotArea type="data" outline="0" fieldPosition="0">
        <references count="2">
          <reference field="4294967294" count="1" selected="0">
            <x v="0"/>
          </reference>
          <reference field="0" count="1" selected="0">
            <x v="7"/>
          </reference>
        </references>
      </pivotArea>
    </chartFormat>
    <chartFormat chart="15" format="72">
      <pivotArea type="data" outline="0" fieldPosition="0">
        <references count="2">
          <reference field="4294967294" count="1" selected="0">
            <x v="0"/>
          </reference>
          <reference field="0" count="1" selected="0">
            <x v="8"/>
          </reference>
        </references>
      </pivotArea>
    </chartFormat>
    <chartFormat chart="15" format="73">
      <pivotArea type="data" outline="0" fieldPosition="0">
        <references count="2">
          <reference field="4294967294" count="1" selected="0">
            <x v="0"/>
          </reference>
          <reference field="0" count="1" selected="0">
            <x v="9"/>
          </reference>
        </references>
      </pivotArea>
    </chartFormat>
    <chartFormat chart="15" format="74">
      <pivotArea type="data" outline="0" fieldPosition="0">
        <references count="2">
          <reference field="4294967294" count="1" selected="0">
            <x v="0"/>
          </reference>
          <reference field="0" count="1" selected="0">
            <x v="10"/>
          </reference>
        </references>
      </pivotArea>
    </chartFormat>
    <chartFormat chart="15" format="75">
      <pivotArea type="data" outline="0" fieldPosition="0">
        <references count="2">
          <reference field="4294967294" count="1" selected="0">
            <x v="0"/>
          </reference>
          <reference field="0" count="1" selected="0">
            <x v="11"/>
          </reference>
        </references>
      </pivotArea>
    </chartFormat>
    <chartFormat chart="15" format="76">
      <pivotArea type="data" outline="0" fieldPosition="0">
        <references count="2">
          <reference field="4294967294" count="1" selected="0">
            <x v="0"/>
          </reference>
          <reference field="0" count="1" selected="0">
            <x v="12"/>
          </reference>
        </references>
      </pivotArea>
    </chartFormat>
    <chartFormat chart="15" format="77">
      <pivotArea type="data" outline="0" fieldPosition="0">
        <references count="2">
          <reference field="4294967294" count="1" selected="0">
            <x v="0"/>
          </reference>
          <reference field="0" count="1" selected="0">
            <x v="13"/>
          </reference>
        </references>
      </pivotArea>
    </chartFormat>
    <chartFormat chart="15" format="78">
      <pivotArea type="data" outline="0" fieldPosition="0">
        <references count="2">
          <reference field="4294967294" count="1" selected="0">
            <x v="0"/>
          </reference>
          <reference field="0" count="1" selected="0">
            <x v="14"/>
          </reference>
        </references>
      </pivotArea>
    </chartFormat>
    <chartFormat chart="15" format="79">
      <pivotArea type="data" outline="0" fieldPosition="0">
        <references count="2">
          <reference field="4294967294" count="1" selected="0">
            <x v="0"/>
          </reference>
          <reference field="0" count="1" selected="0">
            <x v="15"/>
          </reference>
        </references>
      </pivotArea>
    </chartFormat>
    <chartFormat chart="15" format="80">
      <pivotArea type="data" outline="0" fieldPosition="0">
        <references count="2">
          <reference field="4294967294" count="1" selected="0">
            <x v="0"/>
          </reference>
          <reference field="0" count="1" selected="0">
            <x v="16"/>
          </reference>
        </references>
      </pivotArea>
    </chartFormat>
    <chartFormat chart="15" format="81">
      <pivotArea type="data" outline="0" fieldPosition="0">
        <references count="2">
          <reference field="4294967294" count="1" selected="0">
            <x v="0"/>
          </reference>
          <reference field="0" count="1" selected="0">
            <x v="17"/>
          </reference>
        </references>
      </pivotArea>
    </chartFormat>
    <chartFormat chart="15" format="82">
      <pivotArea type="data" outline="0" fieldPosition="0">
        <references count="2">
          <reference field="4294967294" count="1" selected="0">
            <x v="0"/>
          </reference>
          <reference field="0" count="1" selected="0">
            <x v="18"/>
          </reference>
        </references>
      </pivotArea>
    </chartFormat>
    <chartFormat chart="15" format="83">
      <pivotArea type="data" outline="0" fieldPosition="0">
        <references count="2">
          <reference field="4294967294" count="1" selected="0">
            <x v="0"/>
          </reference>
          <reference field="0" count="1" selected="0">
            <x v="19"/>
          </reference>
        </references>
      </pivotArea>
    </chartFormat>
    <chartFormat chart="15" format="84">
      <pivotArea type="data" outline="0" fieldPosition="0">
        <references count="2">
          <reference field="4294967294" count="1" selected="0">
            <x v="0"/>
          </reference>
          <reference field="0" count="1" selected="0">
            <x v="20"/>
          </reference>
        </references>
      </pivotArea>
    </chartFormat>
    <chartFormat chart="15" format="85">
      <pivotArea type="data" outline="0" fieldPosition="0">
        <references count="2">
          <reference field="4294967294" count="1" selected="0">
            <x v="0"/>
          </reference>
          <reference field="0" count="1" selected="0">
            <x v="21"/>
          </reference>
        </references>
      </pivotArea>
    </chartFormat>
    <chartFormat chart="15" format="86">
      <pivotArea type="data" outline="0" fieldPosition="0">
        <references count="2">
          <reference field="4294967294" count="1" selected="0">
            <x v="0"/>
          </reference>
          <reference field="0" count="1" selected="0">
            <x v="22"/>
          </reference>
        </references>
      </pivotArea>
    </chartFormat>
    <chartFormat chart="15" format="87">
      <pivotArea type="data" outline="0" fieldPosition="0">
        <references count="2">
          <reference field="4294967294" count="1" selected="0">
            <x v="0"/>
          </reference>
          <reference field="0" count="1" selected="0">
            <x v="23"/>
          </reference>
        </references>
      </pivotArea>
    </chartFormat>
    <chartFormat chart="15" format="88">
      <pivotArea type="data" outline="0" fieldPosition="0">
        <references count="2">
          <reference field="4294967294" count="1" selected="0">
            <x v="0"/>
          </reference>
          <reference field="0" count="1" selected="0">
            <x v="24"/>
          </reference>
        </references>
      </pivotArea>
    </chartFormat>
    <chartFormat chart="15" format="89">
      <pivotArea type="data" outline="0" fieldPosition="0">
        <references count="2">
          <reference field="4294967294" count="1" selected="0">
            <x v="0"/>
          </reference>
          <reference field="0" count="1" selected="0">
            <x v="25"/>
          </reference>
        </references>
      </pivotArea>
    </chartFormat>
    <chartFormat chart="15" format="90">
      <pivotArea type="data" outline="0" fieldPosition="0">
        <references count="2">
          <reference field="4294967294" count="1" selected="0">
            <x v="0"/>
          </reference>
          <reference field="0" count="1" selected="0">
            <x v="26"/>
          </reference>
        </references>
      </pivotArea>
    </chartFormat>
    <chartFormat chart="15" format="91">
      <pivotArea type="data" outline="0" fieldPosition="0">
        <references count="2">
          <reference field="4294967294" count="1" selected="0">
            <x v="0"/>
          </reference>
          <reference field="0" count="1" selected="0">
            <x v="27"/>
          </reference>
        </references>
      </pivotArea>
    </chartFormat>
    <chartFormat chart="15" format="92">
      <pivotArea type="data" outline="0" fieldPosition="0">
        <references count="2">
          <reference field="4294967294" count="1" selected="0">
            <x v="0"/>
          </reference>
          <reference field="0" count="1" selected="0">
            <x v="28"/>
          </reference>
        </references>
      </pivotArea>
    </chartFormat>
    <chartFormat chart="15" format="93">
      <pivotArea type="data" outline="0" fieldPosition="0">
        <references count="2">
          <reference field="4294967294" count="1" selected="0">
            <x v="0"/>
          </reference>
          <reference field="0" count="1" selected="0">
            <x v="29"/>
          </reference>
        </references>
      </pivotArea>
    </chartFormat>
    <chartFormat chart="15" format="94">
      <pivotArea type="data" outline="0" fieldPosition="0">
        <references count="2">
          <reference field="4294967294" count="1" selected="0">
            <x v="0"/>
          </reference>
          <reference field="0" count="1" selected="0">
            <x v="30"/>
          </reference>
        </references>
      </pivotArea>
    </chartFormat>
    <chartFormat chart="15" format="95">
      <pivotArea type="data" outline="0" fieldPosition="0">
        <references count="2">
          <reference field="4294967294" count="1" selected="0">
            <x v="0"/>
          </reference>
          <reference field="0" count="1" selected="0">
            <x v="31"/>
          </reference>
        </references>
      </pivotArea>
    </chartFormat>
    <chartFormat chart="15" format="96">
      <pivotArea type="data" outline="0" fieldPosition="0">
        <references count="2">
          <reference field="4294967294" count="1" selected="0">
            <x v="0"/>
          </reference>
          <reference field="0" count="1" selected="0">
            <x v="32"/>
          </reference>
        </references>
      </pivotArea>
    </chartFormat>
    <chartFormat chart="15" format="97">
      <pivotArea type="data" outline="0" fieldPosition="0">
        <references count="2">
          <reference field="4294967294" count="1" selected="0">
            <x v="0"/>
          </reference>
          <reference field="0" count="1" selected="0">
            <x v="33"/>
          </reference>
        </references>
      </pivotArea>
    </chartFormat>
    <chartFormat chart="15" format="98">
      <pivotArea type="data" outline="0" fieldPosition="0">
        <references count="2">
          <reference field="4294967294" count="1" selected="0">
            <x v="0"/>
          </reference>
          <reference field="0" count="1" selected="0">
            <x v="34"/>
          </reference>
        </references>
      </pivotArea>
    </chartFormat>
    <chartFormat chart="15" format="99">
      <pivotArea type="data" outline="0" fieldPosition="0">
        <references count="2">
          <reference field="4294967294" count="1" selected="0">
            <x v="0"/>
          </reference>
          <reference field="0" count="1" selected="0">
            <x v="35"/>
          </reference>
        </references>
      </pivotArea>
    </chartFormat>
    <chartFormat chart="15" format="100">
      <pivotArea type="data" outline="0" fieldPosition="0">
        <references count="2">
          <reference field="4294967294" count="1" selected="0">
            <x v="0"/>
          </reference>
          <reference field="0" count="1" selected="0">
            <x v="36"/>
          </reference>
        </references>
      </pivotArea>
    </chartFormat>
    <chartFormat chart="15" format="101">
      <pivotArea type="data" outline="0" fieldPosition="0">
        <references count="2">
          <reference field="4294967294" count="1" selected="0">
            <x v="0"/>
          </reference>
          <reference field="0" count="1" selected="0">
            <x v="37"/>
          </reference>
        </references>
      </pivotArea>
    </chartFormat>
    <chartFormat chart="15" format="102">
      <pivotArea type="data" outline="0" fieldPosition="0">
        <references count="2">
          <reference field="4294967294" count="1" selected="0">
            <x v="0"/>
          </reference>
          <reference field="0" count="1" selected="0">
            <x v="38"/>
          </reference>
        </references>
      </pivotArea>
    </chartFormat>
    <chartFormat chart="15" format="103">
      <pivotArea type="data" outline="0" fieldPosition="0">
        <references count="2">
          <reference field="4294967294" count="1" selected="0">
            <x v="0"/>
          </reference>
          <reference field="0" count="1" selected="0">
            <x v="39"/>
          </reference>
        </references>
      </pivotArea>
    </chartFormat>
    <chartFormat chart="15" format="104">
      <pivotArea type="data" outline="0" fieldPosition="0">
        <references count="2">
          <reference field="4294967294" count="1" selected="0">
            <x v="0"/>
          </reference>
          <reference field="0" count="1" selected="0">
            <x v="40"/>
          </reference>
        </references>
      </pivotArea>
    </chartFormat>
    <chartFormat chart="15" format="105">
      <pivotArea type="data" outline="0" fieldPosition="0">
        <references count="2">
          <reference field="4294967294" count="1" selected="0">
            <x v="0"/>
          </reference>
          <reference field="0" count="1" selected="0">
            <x v="41"/>
          </reference>
        </references>
      </pivotArea>
    </chartFormat>
    <chartFormat chart="15" format="106">
      <pivotArea type="data" outline="0" fieldPosition="0">
        <references count="2">
          <reference field="4294967294" count="1" selected="0">
            <x v="0"/>
          </reference>
          <reference field="0" count="1" selected="0">
            <x v="42"/>
          </reference>
        </references>
      </pivotArea>
    </chartFormat>
    <chartFormat chart="15" format="107">
      <pivotArea type="data" outline="0" fieldPosition="0">
        <references count="2">
          <reference field="4294967294" count="1" selected="0">
            <x v="0"/>
          </reference>
          <reference field="0" count="1" selected="0">
            <x v="43"/>
          </reference>
        </references>
      </pivotArea>
    </chartFormat>
    <chartFormat chart="15" format="108">
      <pivotArea type="data" outline="0" fieldPosition="0">
        <references count="2">
          <reference field="4294967294" count="1" selected="0">
            <x v="0"/>
          </reference>
          <reference field="0" count="1" selected="0">
            <x v="44"/>
          </reference>
        </references>
      </pivotArea>
    </chartFormat>
    <chartFormat chart="15" format="109">
      <pivotArea type="data" outline="0" fieldPosition="0">
        <references count="2">
          <reference field="4294967294" count="1" selected="0">
            <x v="0"/>
          </reference>
          <reference field="0" count="1" selected="0">
            <x v="45"/>
          </reference>
        </references>
      </pivotArea>
    </chartFormat>
    <chartFormat chart="15" format="110">
      <pivotArea type="data" outline="0" fieldPosition="0">
        <references count="2">
          <reference field="4294967294" count="1" selected="0">
            <x v="0"/>
          </reference>
          <reference field="0" count="1" selected="0">
            <x v="46"/>
          </reference>
        </references>
      </pivotArea>
    </chartFormat>
    <chartFormat chart="15" format="111">
      <pivotArea type="data" outline="0" fieldPosition="0">
        <references count="2">
          <reference field="4294967294" count="1" selected="0">
            <x v="0"/>
          </reference>
          <reference field="0" count="1" selected="0">
            <x v="47"/>
          </reference>
        </references>
      </pivotArea>
    </chartFormat>
    <chartFormat chart="15" format="112">
      <pivotArea type="data" outline="0" fieldPosition="0">
        <references count="2">
          <reference field="4294967294" count="1" selected="0">
            <x v="0"/>
          </reference>
          <reference field="0" count="1" selected="0">
            <x v="48"/>
          </reference>
        </references>
      </pivotArea>
    </chartFormat>
    <chartFormat chart="15" format="113">
      <pivotArea type="data" outline="0" fieldPosition="0">
        <references count="2">
          <reference field="4294967294" count="1" selected="0">
            <x v="0"/>
          </reference>
          <reference field="0" count="1" selected="0">
            <x v="49"/>
          </reference>
        </references>
      </pivotArea>
    </chartFormat>
    <chartFormat chart="15" format="114">
      <pivotArea type="data" outline="0" fieldPosition="0">
        <references count="2">
          <reference field="4294967294" count="1" selected="0">
            <x v="0"/>
          </reference>
          <reference field="0" count="1" selected="0">
            <x v="50"/>
          </reference>
        </references>
      </pivotArea>
    </chartFormat>
    <chartFormat chart="15" format="115">
      <pivotArea type="data" outline="0" fieldPosition="0">
        <references count="2">
          <reference field="4294967294" count="1" selected="0">
            <x v="0"/>
          </reference>
          <reference field="0" count="1" selected="0">
            <x v="51"/>
          </reference>
        </references>
      </pivotArea>
    </chartFormat>
    <chartFormat chart="15" format="116">
      <pivotArea type="data" outline="0" fieldPosition="0">
        <references count="2">
          <reference field="4294967294" count="1" selected="0">
            <x v="0"/>
          </reference>
          <reference field="0" count="1" selected="0">
            <x v="52"/>
          </reference>
        </references>
      </pivotArea>
    </chartFormat>
    <chartFormat chart="15" format="117">
      <pivotArea type="data" outline="0" fieldPosition="0">
        <references count="2">
          <reference field="4294967294" count="1" selected="0">
            <x v="0"/>
          </reference>
          <reference field="0" count="1" selected="0">
            <x v="53"/>
          </reference>
        </references>
      </pivotArea>
    </chartFormat>
    <chartFormat chart="15" format="118">
      <pivotArea type="data" outline="0" fieldPosition="0">
        <references count="2">
          <reference field="4294967294" count="1" selected="0">
            <x v="0"/>
          </reference>
          <reference field="0" count="1" selected="0">
            <x v="54"/>
          </reference>
        </references>
      </pivotArea>
    </chartFormat>
    <chartFormat chart="15" format="119">
      <pivotArea type="data" outline="0" fieldPosition="0">
        <references count="2">
          <reference field="4294967294" count="1" selected="0">
            <x v="0"/>
          </reference>
          <reference field="0" count="1" selected="0">
            <x v="55"/>
          </reference>
        </references>
      </pivotArea>
    </chartFormat>
    <chartFormat chart="15" format="120">
      <pivotArea type="data" outline="0" fieldPosition="0">
        <references count="2">
          <reference field="4294967294" count="1" selected="0">
            <x v="0"/>
          </reference>
          <reference field="0" count="1" selected="0">
            <x v="56"/>
          </reference>
        </references>
      </pivotArea>
    </chartFormat>
    <chartFormat chart="15" format="121">
      <pivotArea type="data" outline="0" fieldPosition="0">
        <references count="2">
          <reference field="4294967294" count="1" selected="0">
            <x v="0"/>
          </reference>
          <reference field="0" count="1" selected="0">
            <x v="57"/>
          </reference>
        </references>
      </pivotArea>
    </chartFormat>
    <chartFormat chart="15" format="122">
      <pivotArea type="data" outline="0" fieldPosition="0">
        <references count="2">
          <reference field="4294967294" count="1" selected="0">
            <x v="0"/>
          </reference>
          <reference field="0" count="1" selected="0">
            <x v="58"/>
          </reference>
        </references>
      </pivotArea>
    </chartFormat>
    <chartFormat chart="15" format="123">
      <pivotArea type="data" outline="0" fieldPosition="0">
        <references count="2">
          <reference field="4294967294" count="1" selected="0">
            <x v="0"/>
          </reference>
          <reference field="0" count="1" selected="0">
            <x v="5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E3:F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13">
        <item x="0"/>
        <item x="1"/>
        <item x="2"/>
        <item x="3"/>
        <item x="4"/>
        <item x="5"/>
        <item x="6"/>
        <item x="7"/>
        <item x="8"/>
        <item x="9"/>
        <item x="10"/>
        <item x="11"/>
        <item t="default"/>
      </items>
    </pivotField>
    <pivotField dataField="1" showAll="0"/>
    <pivotField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Categor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4" firstHeaderRow="1" firstDataRow="1" firstDataCol="1"/>
  <pivotFields count="5">
    <pivotField axis="axisRow" numFmtId="14"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dataField="1" showAll="0">
      <items count="13">
        <item x="0"/>
        <item x="1"/>
        <item x="2"/>
        <item x="3"/>
        <item x="4"/>
        <item x="5"/>
        <item x="6"/>
        <item x="7"/>
        <item x="8"/>
        <item x="9"/>
        <item x="10"/>
        <item x="11"/>
        <item t="default"/>
      </items>
    </pivotField>
    <pivotField showAll="0"/>
    <pivotField showAll="0"/>
    <pivotField showAll="0"/>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Month"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4"/>
  </pivotTables>
  <data>
    <tabular pivotCacheId="1">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ription" sourceName="Discription">
  <pivotTables>
    <pivotTable tabId="3" name="PivotTable4"/>
  </pivotTables>
  <data>
    <tabular pivotCacheId="1">
      <items count="14">
        <i x="6" s="1"/>
        <i x="2" s="1"/>
        <i x="4" s="1"/>
        <i x="11" s="1"/>
        <i x="8" s="1"/>
        <i x="1" s="1"/>
        <i x="0" s="1"/>
        <i x="3" s="1"/>
        <i x="7" s="1"/>
        <i x="9" s="1"/>
        <i x="12" s="1"/>
        <i x="10" s="1"/>
        <i x="5"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ctual_amount" sourceName="Actual amount">
  <pivotTables>
    <pivotTable tabId="3" name="PivotTable4"/>
  </pivotTables>
  <data>
    <tabular pivotCacheId="1">
      <items count="33">
        <i x="10" s="1"/>
        <i x="22" s="1"/>
        <i x="7" s="1"/>
        <i x="26" s="1"/>
        <i x="17" s="1"/>
        <i x="13" s="1"/>
        <i x="3" s="1"/>
        <i x="8" s="1"/>
        <i x="14" s="1"/>
        <i x="4" s="1"/>
        <i x="20" s="1"/>
        <i x="2" s="1"/>
        <i x="16" s="1"/>
        <i x="12" s="1"/>
        <i x="24" s="1"/>
        <i x="6" s="1"/>
        <i x="19" s="1"/>
        <i x="28" s="1"/>
        <i x="31" s="1"/>
        <i x="9" s="1"/>
        <i x="32" s="1"/>
        <i x="21" s="1"/>
        <i x="1" s="1"/>
        <i x="25" s="1"/>
        <i x="11" s="1"/>
        <i x="29" s="1"/>
        <i x="23" s="1"/>
        <i x="15" s="1"/>
        <i x="27" s="1"/>
        <i x="5" s="1"/>
        <i x="18" s="1"/>
        <i x="30"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Discription" cache="Slicer_Discription" caption="Discription" rowHeight="241300"/>
  <slicer name="Actual amount" cache="Slicer_Actual_amount" caption="Actual amou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rowHeight="241300"/>
  <slicer name="Discription 1" cache="Slicer_Discription" caption="Discription" startItem="6" rowHeight="241300"/>
  <slicer name="Actual amount 1" cache="Slicer_Actual_amount" caption="Actual amou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85"/>
  <sheetViews>
    <sheetView topLeftCell="A45" workbookViewId="0">
      <selection activeCell="N3" sqref="N3"/>
    </sheetView>
  </sheetViews>
  <sheetFormatPr defaultRowHeight="14.25"/>
  <cols>
    <col min="1" max="1" width="13.125" customWidth="1"/>
    <col min="2" max="2" width="14.75" bestFit="1" customWidth="1"/>
    <col min="5" max="5" width="13.125" bestFit="1" customWidth="1"/>
    <col min="6" max="6" width="17.25" bestFit="1" customWidth="1"/>
    <col min="9" max="9" width="13.125" customWidth="1"/>
    <col min="10" max="11" width="20.125" bestFit="1" customWidth="1"/>
    <col min="13" max="13" width="13.125" customWidth="1"/>
    <col min="14" max="15" width="20.125" bestFit="1" customWidth="1"/>
    <col min="16" max="16" width="21.25" bestFit="1" customWidth="1"/>
  </cols>
  <sheetData>
    <row r="3" spans="1:14">
      <c r="A3" s="12" t="s">
        <v>42</v>
      </c>
      <c r="B3" t="s">
        <v>44</v>
      </c>
      <c r="E3" s="12" t="s">
        <v>42</v>
      </c>
      <c r="F3" t="s">
        <v>45</v>
      </c>
      <c r="I3" s="12" t="s">
        <v>42</v>
      </c>
      <c r="J3" t="s">
        <v>46</v>
      </c>
      <c r="M3" s="12" t="s">
        <v>42</v>
      </c>
      <c r="N3" t="s">
        <v>46</v>
      </c>
    </row>
    <row r="4" spans="1:14">
      <c r="A4" s="13">
        <v>45662</v>
      </c>
      <c r="B4" s="14">
        <v>1</v>
      </c>
      <c r="E4" s="13">
        <v>45662</v>
      </c>
      <c r="F4" s="14">
        <v>1</v>
      </c>
      <c r="I4" s="13">
        <v>45662</v>
      </c>
      <c r="J4" s="14">
        <v>12000</v>
      </c>
      <c r="M4" s="13">
        <v>45662</v>
      </c>
      <c r="N4" s="14">
        <v>12000</v>
      </c>
    </row>
    <row r="5" spans="1:14">
      <c r="A5" s="13">
        <v>45665</v>
      </c>
      <c r="B5" s="14">
        <v>1</v>
      </c>
      <c r="E5" s="13">
        <v>45665</v>
      </c>
      <c r="F5" s="14">
        <v>1</v>
      </c>
      <c r="I5" s="13">
        <v>45665</v>
      </c>
      <c r="J5" s="14">
        <v>4200</v>
      </c>
      <c r="M5" s="13">
        <v>45665</v>
      </c>
      <c r="N5" s="14">
        <v>4200</v>
      </c>
    </row>
    <row r="6" spans="1:14">
      <c r="A6" s="13">
        <v>45669</v>
      </c>
      <c r="B6" s="14">
        <v>1</v>
      </c>
      <c r="E6" s="13">
        <v>45669</v>
      </c>
      <c r="F6" s="14">
        <v>1</v>
      </c>
      <c r="I6" s="13">
        <v>45669</v>
      </c>
      <c r="J6" s="14">
        <v>2800</v>
      </c>
      <c r="M6" s="13">
        <v>45669</v>
      </c>
      <c r="N6" s="14">
        <v>2800</v>
      </c>
    </row>
    <row r="7" spans="1:14">
      <c r="A7" s="13">
        <v>45675</v>
      </c>
      <c r="B7" s="14">
        <v>1</v>
      </c>
      <c r="E7" s="13">
        <v>45675</v>
      </c>
      <c r="F7" s="14">
        <v>1</v>
      </c>
      <c r="I7" s="13">
        <v>45675</v>
      </c>
      <c r="J7" s="14">
        <v>2300</v>
      </c>
      <c r="M7" s="13">
        <v>45675</v>
      </c>
      <c r="N7" s="14">
        <v>2300</v>
      </c>
    </row>
    <row r="8" spans="1:14">
      <c r="A8" s="13">
        <v>45682</v>
      </c>
      <c r="B8" s="14">
        <v>1</v>
      </c>
      <c r="E8" s="13">
        <v>45682</v>
      </c>
      <c r="F8" s="14">
        <v>1</v>
      </c>
      <c r="I8" s="13">
        <v>45682</v>
      </c>
      <c r="J8" s="14">
        <v>2600</v>
      </c>
      <c r="M8" s="13">
        <v>45682</v>
      </c>
      <c r="N8" s="14">
        <v>2600</v>
      </c>
    </row>
    <row r="9" spans="1:14">
      <c r="A9" s="13">
        <v>45693</v>
      </c>
      <c r="B9" s="14">
        <v>1</v>
      </c>
      <c r="E9" s="13">
        <v>45693</v>
      </c>
      <c r="F9" s="14">
        <v>1</v>
      </c>
      <c r="I9" s="13">
        <v>45693</v>
      </c>
      <c r="J9" s="14">
        <v>12000</v>
      </c>
      <c r="M9" s="13">
        <v>45693</v>
      </c>
      <c r="N9" s="14">
        <v>12000</v>
      </c>
    </row>
    <row r="10" spans="1:14">
      <c r="A10" s="13">
        <v>45697</v>
      </c>
      <c r="B10" s="14">
        <v>1</v>
      </c>
      <c r="E10" s="13">
        <v>45697</v>
      </c>
      <c r="F10" s="14">
        <v>1</v>
      </c>
      <c r="I10" s="13">
        <v>45697</v>
      </c>
      <c r="J10" s="14">
        <v>5100</v>
      </c>
      <c r="M10" s="13">
        <v>45697</v>
      </c>
      <c r="N10" s="14">
        <v>5100</v>
      </c>
    </row>
    <row r="11" spans="1:14">
      <c r="A11" s="13">
        <v>45700</v>
      </c>
      <c r="B11" s="14">
        <v>1</v>
      </c>
      <c r="E11" s="13">
        <v>45700</v>
      </c>
      <c r="F11" s="14">
        <v>1</v>
      </c>
      <c r="I11" s="13">
        <v>45700</v>
      </c>
      <c r="J11" s="14">
        <v>3200</v>
      </c>
      <c r="M11" s="13">
        <v>45700</v>
      </c>
      <c r="N11" s="14">
        <v>3200</v>
      </c>
    </row>
    <row r="12" spans="1:14">
      <c r="A12" s="13">
        <v>45706</v>
      </c>
      <c r="B12" s="14">
        <v>1</v>
      </c>
      <c r="E12" s="13">
        <v>45706</v>
      </c>
      <c r="F12" s="14">
        <v>1</v>
      </c>
      <c r="I12" s="13">
        <v>45706</v>
      </c>
      <c r="J12" s="14">
        <v>1900</v>
      </c>
      <c r="M12" s="13">
        <v>45706</v>
      </c>
      <c r="N12" s="14">
        <v>1900</v>
      </c>
    </row>
    <row r="13" spans="1:14">
      <c r="A13" s="13">
        <v>45712</v>
      </c>
      <c r="B13" s="14">
        <v>1</v>
      </c>
      <c r="E13" s="13">
        <v>45712</v>
      </c>
      <c r="F13" s="14">
        <v>1</v>
      </c>
      <c r="I13" s="13">
        <v>45712</v>
      </c>
      <c r="J13" s="14">
        <v>2400</v>
      </c>
      <c r="M13" s="13">
        <v>45712</v>
      </c>
      <c r="N13" s="14">
        <v>2400</v>
      </c>
    </row>
    <row r="14" spans="1:14">
      <c r="A14" s="13">
        <v>45721</v>
      </c>
      <c r="B14" s="14">
        <v>1</v>
      </c>
      <c r="E14" s="13">
        <v>45721</v>
      </c>
      <c r="F14" s="14">
        <v>1</v>
      </c>
      <c r="I14" s="13">
        <v>45721</v>
      </c>
      <c r="J14" s="14">
        <v>12000</v>
      </c>
      <c r="M14" s="13">
        <v>45721</v>
      </c>
      <c r="N14" s="14">
        <v>12000</v>
      </c>
    </row>
    <row r="15" spans="1:14">
      <c r="A15" s="13">
        <v>45724</v>
      </c>
      <c r="B15" s="14">
        <v>1</v>
      </c>
      <c r="E15" s="13">
        <v>45724</v>
      </c>
      <c r="F15" s="14">
        <v>1</v>
      </c>
      <c r="I15" s="13">
        <v>45724</v>
      </c>
      <c r="J15" s="14">
        <v>3900</v>
      </c>
      <c r="M15" s="13">
        <v>45724</v>
      </c>
      <c r="N15" s="14">
        <v>3900</v>
      </c>
    </row>
    <row r="16" spans="1:14">
      <c r="A16" s="13">
        <v>45730</v>
      </c>
      <c r="B16" s="14">
        <v>1</v>
      </c>
      <c r="E16" s="13">
        <v>45730</v>
      </c>
      <c r="F16" s="14">
        <v>1</v>
      </c>
      <c r="I16" s="13">
        <v>45730</v>
      </c>
      <c r="J16" s="14">
        <v>2600</v>
      </c>
      <c r="M16" s="13">
        <v>45730</v>
      </c>
      <c r="N16" s="14">
        <v>2600</v>
      </c>
    </row>
    <row r="17" spans="1:14">
      <c r="A17" s="13">
        <v>45736</v>
      </c>
      <c r="B17" s="14">
        <v>1</v>
      </c>
      <c r="E17" s="13">
        <v>45736</v>
      </c>
      <c r="F17" s="14">
        <v>1</v>
      </c>
      <c r="I17" s="13">
        <v>45736</v>
      </c>
      <c r="J17" s="14">
        <v>1500</v>
      </c>
      <c r="M17" s="13">
        <v>45736</v>
      </c>
      <c r="N17" s="14">
        <v>1500</v>
      </c>
    </row>
    <row r="18" spans="1:14">
      <c r="A18" s="13">
        <v>45742</v>
      </c>
      <c r="B18" s="14">
        <v>1</v>
      </c>
      <c r="E18" s="13">
        <v>45742</v>
      </c>
      <c r="F18" s="14">
        <v>1</v>
      </c>
      <c r="I18" s="13">
        <v>45742</v>
      </c>
      <c r="J18" s="14">
        <v>2300</v>
      </c>
      <c r="M18" s="13">
        <v>45742</v>
      </c>
      <c r="N18" s="14">
        <v>2300</v>
      </c>
    </row>
    <row r="19" spans="1:14">
      <c r="A19" s="13">
        <v>45752</v>
      </c>
      <c r="B19" s="14">
        <v>1</v>
      </c>
      <c r="E19" s="13">
        <v>45752</v>
      </c>
      <c r="F19" s="14">
        <v>1</v>
      </c>
      <c r="I19" s="13">
        <v>45752</v>
      </c>
      <c r="J19" s="14">
        <v>12000</v>
      </c>
      <c r="M19" s="13">
        <v>45752</v>
      </c>
      <c r="N19" s="14">
        <v>12000</v>
      </c>
    </row>
    <row r="20" spans="1:14">
      <c r="A20" s="13">
        <v>45756</v>
      </c>
      <c r="B20" s="14">
        <v>1</v>
      </c>
      <c r="E20" s="13">
        <v>45756</v>
      </c>
      <c r="F20" s="14">
        <v>1</v>
      </c>
      <c r="I20" s="13">
        <v>45756</v>
      </c>
      <c r="J20" s="14">
        <v>4500</v>
      </c>
      <c r="M20" s="13">
        <v>45756</v>
      </c>
      <c r="N20" s="14">
        <v>4500</v>
      </c>
    </row>
    <row r="21" spans="1:14">
      <c r="A21" s="13">
        <v>45760</v>
      </c>
      <c r="B21" s="14">
        <v>1</v>
      </c>
      <c r="E21" s="13">
        <v>45760</v>
      </c>
      <c r="F21" s="14">
        <v>1</v>
      </c>
      <c r="I21" s="13">
        <v>45760</v>
      </c>
      <c r="J21" s="14">
        <v>3000</v>
      </c>
      <c r="M21" s="13">
        <v>45760</v>
      </c>
      <c r="N21" s="14">
        <v>3000</v>
      </c>
    </row>
    <row r="22" spans="1:14">
      <c r="A22" s="13">
        <v>45766</v>
      </c>
      <c r="B22" s="14">
        <v>1</v>
      </c>
      <c r="E22" s="13">
        <v>45766</v>
      </c>
      <c r="F22" s="14">
        <v>1</v>
      </c>
      <c r="I22" s="13">
        <v>45766</v>
      </c>
      <c r="J22" s="14">
        <v>2200</v>
      </c>
      <c r="M22" s="13">
        <v>45766</v>
      </c>
      <c r="N22" s="14">
        <v>2200</v>
      </c>
    </row>
    <row r="23" spans="1:14">
      <c r="A23" s="13">
        <v>45772</v>
      </c>
      <c r="B23" s="14">
        <v>1</v>
      </c>
      <c r="E23" s="13">
        <v>45772</v>
      </c>
      <c r="F23" s="14">
        <v>1</v>
      </c>
      <c r="I23" s="13">
        <v>45772</v>
      </c>
      <c r="J23" s="14">
        <v>2500</v>
      </c>
      <c r="M23" s="13">
        <v>45772</v>
      </c>
      <c r="N23" s="14">
        <v>2500</v>
      </c>
    </row>
    <row r="24" spans="1:14">
      <c r="A24" s="13">
        <v>45782</v>
      </c>
      <c r="B24" s="14">
        <v>1</v>
      </c>
      <c r="E24" s="13">
        <v>45782</v>
      </c>
      <c r="F24" s="14">
        <v>1</v>
      </c>
      <c r="I24" s="13">
        <v>45782</v>
      </c>
      <c r="J24" s="14">
        <v>12000</v>
      </c>
      <c r="M24" s="13">
        <v>45782</v>
      </c>
      <c r="N24" s="14">
        <v>12000</v>
      </c>
    </row>
    <row r="25" spans="1:14">
      <c r="A25" s="13">
        <v>45785</v>
      </c>
      <c r="B25" s="14">
        <v>1</v>
      </c>
      <c r="E25" s="13">
        <v>45785</v>
      </c>
      <c r="F25" s="14">
        <v>1</v>
      </c>
      <c r="I25" s="13">
        <v>45785</v>
      </c>
      <c r="J25" s="14">
        <v>4800</v>
      </c>
      <c r="M25" s="13">
        <v>45785</v>
      </c>
      <c r="N25" s="14">
        <v>4800</v>
      </c>
    </row>
    <row r="26" spans="1:14">
      <c r="A26" s="13">
        <v>45791</v>
      </c>
      <c r="B26" s="14">
        <v>1</v>
      </c>
      <c r="E26" s="13">
        <v>45791</v>
      </c>
      <c r="F26" s="14">
        <v>1</v>
      </c>
      <c r="I26" s="13">
        <v>45791</v>
      </c>
      <c r="J26" s="14">
        <v>2900</v>
      </c>
      <c r="M26" s="13">
        <v>45791</v>
      </c>
      <c r="N26" s="14">
        <v>2900</v>
      </c>
    </row>
    <row r="27" spans="1:14">
      <c r="A27" s="13">
        <v>45797</v>
      </c>
      <c r="B27" s="14">
        <v>1</v>
      </c>
      <c r="E27" s="13">
        <v>45797</v>
      </c>
      <c r="F27" s="14">
        <v>1</v>
      </c>
      <c r="I27" s="13">
        <v>45797</v>
      </c>
      <c r="J27" s="14">
        <v>2100</v>
      </c>
      <c r="M27" s="13">
        <v>45797</v>
      </c>
      <c r="N27" s="14">
        <v>2100</v>
      </c>
    </row>
    <row r="28" spans="1:14">
      <c r="A28" s="13">
        <v>45803</v>
      </c>
      <c r="B28" s="14">
        <v>1</v>
      </c>
      <c r="E28" s="13">
        <v>45803</v>
      </c>
      <c r="F28" s="14">
        <v>1</v>
      </c>
      <c r="I28" s="13">
        <v>45803</v>
      </c>
      <c r="J28" s="14">
        <v>2600</v>
      </c>
      <c r="M28" s="13">
        <v>45803</v>
      </c>
      <c r="N28" s="14">
        <v>2600</v>
      </c>
    </row>
    <row r="29" spans="1:14">
      <c r="A29" s="13">
        <v>45813</v>
      </c>
      <c r="B29" s="14">
        <v>1</v>
      </c>
      <c r="E29" s="13">
        <v>45813</v>
      </c>
      <c r="F29" s="14">
        <v>1</v>
      </c>
      <c r="I29" s="13">
        <v>45813</v>
      </c>
      <c r="J29" s="14">
        <v>12000</v>
      </c>
      <c r="M29" s="13">
        <v>45813</v>
      </c>
      <c r="N29" s="14">
        <v>12000</v>
      </c>
    </row>
    <row r="30" spans="1:14">
      <c r="A30" s="13">
        <v>45817</v>
      </c>
      <c r="B30" s="14">
        <v>1</v>
      </c>
      <c r="E30" s="13">
        <v>45817</v>
      </c>
      <c r="F30" s="14">
        <v>1</v>
      </c>
      <c r="I30" s="13">
        <v>45817</v>
      </c>
      <c r="J30" s="14">
        <v>5200</v>
      </c>
      <c r="M30" s="13">
        <v>45817</v>
      </c>
      <c r="N30" s="14">
        <v>5200</v>
      </c>
    </row>
    <row r="31" spans="1:14">
      <c r="A31" s="13">
        <v>45821</v>
      </c>
      <c r="B31" s="14">
        <v>1</v>
      </c>
      <c r="E31" s="13">
        <v>45821</v>
      </c>
      <c r="F31" s="14">
        <v>1</v>
      </c>
      <c r="I31" s="13">
        <v>45821</v>
      </c>
      <c r="J31" s="14">
        <v>3300</v>
      </c>
      <c r="M31" s="13">
        <v>45821</v>
      </c>
      <c r="N31" s="14">
        <v>3300</v>
      </c>
    </row>
    <row r="32" spans="1:14">
      <c r="A32" s="13">
        <v>45826</v>
      </c>
      <c r="B32" s="14">
        <v>1</v>
      </c>
      <c r="E32" s="13">
        <v>45826</v>
      </c>
      <c r="F32" s="14">
        <v>1</v>
      </c>
      <c r="I32" s="13">
        <v>45826</v>
      </c>
      <c r="J32" s="14">
        <v>2800</v>
      </c>
      <c r="M32" s="13">
        <v>45826</v>
      </c>
      <c r="N32" s="14">
        <v>2800</v>
      </c>
    </row>
    <row r="33" spans="1:14">
      <c r="A33" s="13">
        <v>45833</v>
      </c>
      <c r="B33" s="14">
        <v>1</v>
      </c>
      <c r="E33" s="13">
        <v>45833</v>
      </c>
      <c r="F33" s="14">
        <v>1</v>
      </c>
      <c r="I33" s="13">
        <v>45833</v>
      </c>
      <c r="J33" s="14">
        <v>2700</v>
      </c>
      <c r="M33" s="13">
        <v>45833</v>
      </c>
      <c r="N33" s="14">
        <v>2700</v>
      </c>
    </row>
    <row r="34" spans="1:14">
      <c r="A34" s="13">
        <v>45843</v>
      </c>
      <c r="B34" s="14">
        <v>1</v>
      </c>
      <c r="E34" s="13">
        <v>45843</v>
      </c>
      <c r="F34" s="14">
        <v>1</v>
      </c>
      <c r="I34" s="13">
        <v>45843</v>
      </c>
      <c r="J34" s="14">
        <v>12000</v>
      </c>
      <c r="M34" s="13">
        <v>45843</v>
      </c>
      <c r="N34" s="14">
        <v>12000</v>
      </c>
    </row>
    <row r="35" spans="1:14">
      <c r="A35" s="13">
        <v>45846</v>
      </c>
      <c r="B35" s="14">
        <v>1</v>
      </c>
      <c r="E35" s="13">
        <v>45846</v>
      </c>
      <c r="F35" s="14">
        <v>1</v>
      </c>
      <c r="I35" s="13">
        <v>45846</v>
      </c>
      <c r="J35" s="14">
        <v>4100</v>
      </c>
      <c r="M35" s="13">
        <v>45846</v>
      </c>
      <c r="N35" s="14">
        <v>4100</v>
      </c>
    </row>
    <row r="36" spans="1:14">
      <c r="A36" s="13">
        <v>45850</v>
      </c>
      <c r="B36" s="14">
        <v>1</v>
      </c>
      <c r="E36" s="13">
        <v>45850</v>
      </c>
      <c r="F36" s="14">
        <v>1</v>
      </c>
      <c r="I36" s="13">
        <v>45850</v>
      </c>
      <c r="J36" s="14">
        <v>2600</v>
      </c>
      <c r="M36" s="13">
        <v>45850</v>
      </c>
      <c r="N36" s="14">
        <v>2600</v>
      </c>
    </row>
    <row r="37" spans="1:14">
      <c r="A37" s="13">
        <v>45857</v>
      </c>
      <c r="B37" s="14">
        <v>1</v>
      </c>
      <c r="E37" s="13">
        <v>45857</v>
      </c>
      <c r="F37" s="14">
        <v>1</v>
      </c>
      <c r="I37" s="13">
        <v>45857</v>
      </c>
      <c r="J37" s="14">
        <v>1800</v>
      </c>
      <c r="M37" s="13">
        <v>45857</v>
      </c>
      <c r="N37" s="14">
        <v>1800</v>
      </c>
    </row>
    <row r="38" spans="1:14">
      <c r="A38" s="13">
        <v>45864</v>
      </c>
      <c r="B38" s="14">
        <v>1</v>
      </c>
      <c r="E38" s="13">
        <v>45864</v>
      </c>
      <c r="F38" s="14">
        <v>1</v>
      </c>
      <c r="I38" s="13">
        <v>45864</v>
      </c>
      <c r="J38" s="14">
        <v>2400</v>
      </c>
      <c r="M38" s="13">
        <v>45864</v>
      </c>
      <c r="N38" s="14">
        <v>2400</v>
      </c>
    </row>
    <row r="39" spans="1:14">
      <c r="A39" s="13">
        <v>45874</v>
      </c>
      <c r="B39" s="14">
        <v>1</v>
      </c>
      <c r="E39" s="13">
        <v>45874</v>
      </c>
      <c r="F39" s="14">
        <v>1</v>
      </c>
      <c r="I39" s="13">
        <v>45874</v>
      </c>
      <c r="J39" s="14">
        <v>12000</v>
      </c>
      <c r="M39" s="13">
        <v>45874</v>
      </c>
      <c r="N39" s="14">
        <v>12000</v>
      </c>
    </row>
    <row r="40" spans="1:14">
      <c r="A40" s="13">
        <v>45878</v>
      </c>
      <c r="B40" s="14">
        <v>1</v>
      </c>
      <c r="E40" s="13">
        <v>45878</v>
      </c>
      <c r="F40" s="14">
        <v>1</v>
      </c>
      <c r="I40" s="13">
        <v>45878</v>
      </c>
      <c r="J40" s="14">
        <v>4700</v>
      </c>
      <c r="M40" s="13">
        <v>45878</v>
      </c>
      <c r="N40" s="14">
        <v>4700</v>
      </c>
    </row>
    <row r="41" spans="1:14">
      <c r="A41" s="13">
        <v>45883</v>
      </c>
      <c r="B41" s="14">
        <v>1</v>
      </c>
      <c r="E41" s="13">
        <v>45883</v>
      </c>
      <c r="F41" s="14">
        <v>1</v>
      </c>
      <c r="I41" s="13">
        <v>45883</v>
      </c>
      <c r="J41" s="14">
        <v>3100</v>
      </c>
      <c r="M41" s="13">
        <v>45883</v>
      </c>
      <c r="N41" s="14">
        <v>3100</v>
      </c>
    </row>
    <row r="42" spans="1:14">
      <c r="A42" s="13">
        <v>45889</v>
      </c>
      <c r="B42" s="14">
        <v>1</v>
      </c>
      <c r="E42" s="13">
        <v>45889</v>
      </c>
      <c r="F42" s="14">
        <v>1</v>
      </c>
      <c r="I42" s="13">
        <v>45889</v>
      </c>
      <c r="J42" s="14">
        <v>2200</v>
      </c>
      <c r="M42" s="13">
        <v>45889</v>
      </c>
      <c r="N42" s="14">
        <v>2200</v>
      </c>
    </row>
    <row r="43" spans="1:14">
      <c r="A43" s="13">
        <v>45895</v>
      </c>
      <c r="B43" s="14">
        <v>1</v>
      </c>
      <c r="E43" s="13">
        <v>45895</v>
      </c>
      <c r="F43" s="14">
        <v>1</v>
      </c>
      <c r="I43" s="13">
        <v>45895</v>
      </c>
      <c r="J43" s="14">
        <v>2500</v>
      </c>
      <c r="M43" s="13">
        <v>45895</v>
      </c>
      <c r="N43" s="14">
        <v>2500</v>
      </c>
    </row>
    <row r="44" spans="1:14">
      <c r="A44" s="13">
        <v>45905</v>
      </c>
      <c r="B44" s="14">
        <v>1</v>
      </c>
      <c r="E44" s="13">
        <v>45905</v>
      </c>
      <c r="F44" s="14">
        <v>1</v>
      </c>
      <c r="I44" s="13">
        <v>45905</v>
      </c>
      <c r="J44" s="14">
        <v>12000</v>
      </c>
      <c r="M44" s="13">
        <v>45905</v>
      </c>
      <c r="N44" s="14">
        <v>12000</v>
      </c>
    </row>
    <row r="45" spans="1:14">
      <c r="A45" s="13">
        <v>45908</v>
      </c>
      <c r="B45" s="14">
        <v>1</v>
      </c>
      <c r="E45" s="13">
        <v>45908</v>
      </c>
      <c r="F45" s="14">
        <v>1</v>
      </c>
      <c r="I45" s="13">
        <v>45908</v>
      </c>
      <c r="J45" s="14">
        <v>4300</v>
      </c>
      <c r="M45" s="13">
        <v>45908</v>
      </c>
      <c r="N45" s="14">
        <v>4300</v>
      </c>
    </row>
    <row r="46" spans="1:14">
      <c r="A46" s="13">
        <v>45913</v>
      </c>
      <c r="B46" s="14">
        <v>1</v>
      </c>
      <c r="E46" s="13">
        <v>45913</v>
      </c>
      <c r="F46" s="14">
        <v>1</v>
      </c>
      <c r="I46" s="13">
        <v>45913</v>
      </c>
      <c r="J46" s="14">
        <v>2700</v>
      </c>
      <c r="M46" s="13">
        <v>45913</v>
      </c>
      <c r="N46" s="14">
        <v>2700</v>
      </c>
    </row>
    <row r="47" spans="1:14">
      <c r="A47" s="13">
        <v>45918</v>
      </c>
      <c r="B47" s="14">
        <v>1</v>
      </c>
      <c r="E47" s="13">
        <v>45918</v>
      </c>
      <c r="F47" s="14">
        <v>1</v>
      </c>
      <c r="I47" s="13">
        <v>45918</v>
      </c>
      <c r="J47" s="14">
        <v>2000</v>
      </c>
      <c r="M47" s="13">
        <v>45918</v>
      </c>
      <c r="N47" s="14">
        <v>2000</v>
      </c>
    </row>
    <row r="48" spans="1:14">
      <c r="A48" s="13">
        <v>45925</v>
      </c>
      <c r="B48" s="14">
        <v>1</v>
      </c>
      <c r="E48" s="13">
        <v>45925</v>
      </c>
      <c r="F48" s="14">
        <v>1</v>
      </c>
      <c r="I48" s="13">
        <v>45925</v>
      </c>
      <c r="J48" s="14">
        <v>2400</v>
      </c>
      <c r="M48" s="13">
        <v>45925</v>
      </c>
      <c r="N48" s="14">
        <v>2400</v>
      </c>
    </row>
    <row r="49" spans="1:14">
      <c r="A49" s="13">
        <v>45935</v>
      </c>
      <c r="B49" s="14">
        <v>1</v>
      </c>
      <c r="E49" s="13">
        <v>45935</v>
      </c>
      <c r="F49" s="14">
        <v>1</v>
      </c>
      <c r="I49" s="13">
        <v>45935</v>
      </c>
      <c r="J49" s="14">
        <v>12000</v>
      </c>
      <c r="M49" s="13">
        <v>45935</v>
      </c>
      <c r="N49" s="14">
        <v>12000</v>
      </c>
    </row>
    <row r="50" spans="1:14">
      <c r="A50" s="13">
        <v>45939</v>
      </c>
      <c r="B50" s="14">
        <v>1</v>
      </c>
      <c r="E50" s="13">
        <v>45939</v>
      </c>
      <c r="F50" s="14">
        <v>1</v>
      </c>
      <c r="I50" s="13">
        <v>45939</v>
      </c>
      <c r="J50" s="14">
        <v>5000</v>
      </c>
      <c r="M50" s="13">
        <v>45939</v>
      </c>
      <c r="N50" s="14">
        <v>5000</v>
      </c>
    </row>
    <row r="51" spans="1:14">
      <c r="A51" s="13">
        <v>45944</v>
      </c>
      <c r="B51" s="14">
        <v>1</v>
      </c>
      <c r="E51" s="13">
        <v>45944</v>
      </c>
      <c r="F51" s="14">
        <v>1</v>
      </c>
      <c r="I51" s="13">
        <v>45944</v>
      </c>
      <c r="J51" s="14">
        <v>3200</v>
      </c>
      <c r="M51" s="13">
        <v>45944</v>
      </c>
      <c r="N51" s="14">
        <v>3200</v>
      </c>
    </row>
    <row r="52" spans="1:14">
      <c r="A52" s="13">
        <v>45950</v>
      </c>
      <c r="B52" s="14">
        <v>1</v>
      </c>
      <c r="E52" s="13">
        <v>45950</v>
      </c>
      <c r="F52" s="14">
        <v>1</v>
      </c>
      <c r="I52" s="13">
        <v>45950</v>
      </c>
      <c r="J52" s="14">
        <v>3500</v>
      </c>
      <c r="M52" s="13">
        <v>45950</v>
      </c>
      <c r="N52" s="14">
        <v>3500</v>
      </c>
    </row>
    <row r="53" spans="1:14">
      <c r="A53" s="13">
        <v>45956</v>
      </c>
      <c r="B53" s="14">
        <v>1</v>
      </c>
      <c r="E53" s="13">
        <v>45956</v>
      </c>
      <c r="F53" s="14">
        <v>1</v>
      </c>
      <c r="I53" s="13">
        <v>45956</v>
      </c>
      <c r="J53" s="14">
        <v>2800</v>
      </c>
      <c r="M53" s="13">
        <v>45956</v>
      </c>
      <c r="N53" s="14">
        <v>2800</v>
      </c>
    </row>
    <row r="54" spans="1:14">
      <c r="A54" s="13">
        <v>45966</v>
      </c>
      <c r="B54" s="14">
        <v>1</v>
      </c>
      <c r="E54" s="13">
        <v>45966</v>
      </c>
      <c r="F54" s="14">
        <v>1</v>
      </c>
      <c r="I54" s="13">
        <v>45966</v>
      </c>
      <c r="J54" s="14">
        <v>12000</v>
      </c>
      <c r="M54" s="13">
        <v>45966</v>
      </c>
      <c r="N54" s="14">
        <v>12000</v>
      </c>
    </row>
    <row r="55" spans="1:14">
      <c r="A55" s="13">
        <v>45969</v>
      </c>
      <c r="B55" s="14">
        <v>1</v>
      </c>
      <c r="E55" s="13">
        <v>45969</v>
      </c>
      <c r="F55" s="14">
        <v>1</v>
      </c>
      <c r="I55" s="13">
        <v>45969</v>
      </c>
      <c r="J55" s="14">
        <v>4600</v>
      </c>
      <c r="M55" s="13">
        <v>45969</v>
      </c>
      <c r="N55" s="14">
        <v>4600</v>
      </c>
    </row>
    <row r="56" spans="1:14">
      <c r="A56" s="13">
        <v>45974</v>
      </c>
      <c r="B56" s="14">
        <v>1</v>
      </c>
      <c r="E56" s="13">
        <v>45974</v>
      </c>
      <c r="F56" s="14">
        <v>1</v>
      </c>
      <c r="I56" s="13">
        <v>45974</v>
      </c>
      <c r="J56" s="14">
        <v>3000</v>
      </c>
      <c r="M56" s="13">
        <v>45974</v>
      </c>
      <c r="N56" s="14">
        <v>3000</v>
      </c>
    </row>
    <row r="57" spans="1:14">
      <c r="A57" s="13">
        <v>45980</v>
      </c>
      <c r="B57" s="14">
        <v>1</v>
      </c>
      <c r="E57" s="13">
        <v>45980</v>
      </c>
      <c r="F57" s="14">
        <v>1</v>
      </c>
      <c r="I57" s="13">
        <v>45980</v>
      </c>
      <c r="J57" s="14">
        <v>2100</v>
      </c>
      <c r="M57" s="13">
        <v>45980</v>
      </c>
      <c r="N57" s="14">
        <v>2100</v>
      </c>
    </row>
    <row r="58" spans="1:14">
      <c r="A58" s="13">
        <v>45986</v>
      </c>
      <c r="B58" s="14">
        <v>1</v>
      </c>
      <c r="E58" s="13">
        <v>45986</v>
      </c>
      <c r="F58" s="14">
        <v>1</v>
      </c>
      <c r="I58" s="13">
        <v>45986</v>
      </c>
      <c r="J58" s="14">
        <v>2600</v>
      </c>
      <c r="M58" s="13">
        <v>45986</v>
      </c>
      <c r="N58" s="14">
        <v>2600</v>
      </c>
    </row>
    <row r="59" spans="1:14">
      <c r="A59" s="13">
        <v>45996</v>
      </c>
      <c r="B59" s="14">
        <v>1</v>
      </c>
      <c r="E59" s="13">
        <v>45996</v>
      </c>
      <c r="F59" s="14">
        <v>1</v>
      </c>
      <c r="I59" s="13">
        <v>45996</v>
      </c>
      <c r="J59" s="14">
        <v>12000</v>
      </c>
      <c r="M59" s="13">
        <v>45996</v>
      </c>
      <c r="N59" s="14">
        <v>12000</v>
      </c>
    </row>
    <row r="60" spans="1:14">
      <c r="A60" s="13">
        <v>46000</v>
      </c>
      <c r="B60" s="14">
        <v>1</v>
      </c>
      <c r="E60" s="13">
        <v>46000</v>
      </c>
      <c r="F60" s="14">
        <v>1</v>
      </c>
      <c r="I60" s="13">
        <v>46000</v>
      </c>
      <c r="J60" s="14">
        <v>5400</v>
      </c>
      <c r="M60" s="13">
        <v>46000</v>
      </c>
      <c r="N60" s="14">
        <v>5400</v>
      </c>
    </row>
    <row r="61" spans="1:14">
      <c r="A61" s="13">
        <v>46005</v>
      </c>
      <c r="B61" s="14">
        <v>1</v>
      </c>
      <c r="E61" s="13">
        <v>46005</v>
      </c>
      <c r="F61" s="14">
        <v>1</v>
      </c>
      <c r="I61" s="13">
        <v>46005</v>
      </c>
      <c r="J61" s="14">
        <v>3600</v>
      </c>
      <c r="M61" s="13">
        <v>46005</v>
      </c>
      <c r="N61" s="14">
        <v>3600</v>
      </c>
    </row>
    <row r="62" spans="1:14">
      <c r="A62" s="13">
        <v>46011</v>
      </c>
      <c r="B62" s="14">
        <v>1</v>
      </c>
      <c r="E62" s="13">
        <v>46011</v>
      </c>
      <c r="F62" s="14">
        <v>1</v>
      </c>
      <c r="I62" s="13">
        <v>46011</v>
      </c>
      <c r="J62" s="14">
        <v>4000</v>
      </c>
      <c r="M62" s="13">
        <v>46011</v>
      </c>
      <c r="N62" s="14">
        <v>4000</v>
      </c>
    </row>
    <row r="63" spans="1:14">
      <c r="A63" s="13">
        <v>46017</v>
      </c>
      <c r="B63" s="14">
        <v>1</v>
      </c>
      <c r="E63" s="13">
        <v>46017</v>
      </c>
      <c r="F63" s="14">
        <v>1</v>
      </c>
      <c r="I63" s="13">
        <v>46017</v>
      </c>
      <c r="J63" s="14">
        <v>3000</v>
      </c>
      <c r="M63" s="13">
        <v>46017</v>
      </c>
      <c r="N63" s="14">
        <v>3000</v>
      </c>
    </row>
    <row r="64" spans="1:14">
      <c r="A64" s="13" t="s">
        <v>43</v>
      </c>
      <c r="B64" s="14">
        <v>60</v>
      </c>
      <c r="E64" s="13" t="s">
        <v>43</v>
      </c>
      <c r="F64" s="14">
        <v>60</v>
      </c>
      <c r="I64" s="13" t="s">
        <v>43</v>
      </c>
      <c r="J64" s="14">
        <v>295000</v>
      </c>
      <c r="M64" s="13" t="s">
        <v>43</v>
      </c>
      <c r="N64" s="14">
        <v>295000</v>
      </c>
    </row>
    <row r="65" spans="5:6">
      <c r="E65" s="13"/>
      <c r="F65" s="14"/>
    </row>
    <row r="66" spans="5:6">
      <c r="E66" s="13"/>
      <c r="F66" s="14"/>
    </row>
    <row r="67" spans="5:6">
      <c r="E67" s="13"/>
      <c r="F67" s="14"/>
    </row>
    <row r="68" spans="5:6">
      <c r="E68" s="13"/>
      <c r="F68" s="14"/>
    </row>
    <row r="69" spans="5:6">
      <c r="E69" s="13"/>
      <c r="F69" s="14"/>
    </row>
    <row r="70" spans="5:6">
      <c r="E70" s="13"/>
      <c r="F70" s="14"/>
    </row>
    <row r="71" spans="5:6">
      <c r="E71" s="13"/>
      <c r="F71" s="14"/>
    </row>
    <row r="72" spans="5:6">
      <c r="E72" s="13"/>
      <c r="F72" s="14"/>
    </row>
    <row r="73" spans="5:6">
      <c r="E73" s="13"/>
      <c r="F73" s="14"/>
    </row>
    <row r="74" spans="5:6">
      <c r="E74" s="13"/>
      <c r="F74" s="14"/>
    </row>
    <row r="75" spans="5:6">
      <c r="E75" s="13"/>
      <c r="F75" s="14"/>
    </row>
    <row r="76" spans="5:6">
      <c r="E76" s="13"/>
      <c r="F76" s="14"/>
    </row>
    <row r="77" spans="5:6">
      <c r="E77" s="13"/>
      <c r="F77" s="14"/>
    </row>
    <row r="78" spans="5:6">
      <c r="E78" s="13"/>
      <c r="F78" s="14"/>
    </row>
    <row r="79" spans="5:6">
      <c r="E79" s="13"/>
      <c r="F79" s="14"/>
    </row>
    <row r="80" spans="5:6">
      <c r="E80" s="13"/>
      <c r="F80" s="14"/>
    </row>
    <row r="81" spans="5:6">
      <c r="E81" s="13"/>
      <c r="F81" s="14"/>
    </row>
    <row r="82" spans="5:6">
      <c r="E82" s="13"/>
      <c r="F82" s="14"/>
    </row>
    <row r="83" spans="5:6">
      <c r="E83" s="13"/>
      <c r="F83" s="14"/>
    </row>
    <row r="84" spans="5:6">
      <c r="E84" s="13"/>
      <c r="F84" s="14"/>
    </row>
    <row r="85" spans="5:6">
      <c r="E85" s="13"/>
      <c r="F85" s="14"/>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
  <sheetViews>
    <sheetView tabSelected="1" topLeftCell="A15" workbookViewId="0">
      <selection activeCell="P18" sqref="P18"/>
    </sheetView>
  </sheetViews>
  <sheetFormatPr defaultRowHeight="14.25"/>
  <sheetData>
    <row r="2" spans="1:1">
      <c r="A2" s="1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workbookViewId="0">
      <selection sqref="A1:E61"/>
    </sheetView>
  </sheetViews>
  <sheetFormatPr defaultRowHeight="14.25"/>
  <cols>
    <col min="1" max="1" width="12.5" customWidth="1"/>
    <col min="5" max="5" width="14" customWidth="1"/>
    <col min="8" max="8" width="31.25" customWidth="1"/>
  </cols>
  <sheetData>
    <row r="1" spans="1:8" ht="15.75">
      <c r="A1" s="1" t="s">
        <v>0</v>
      </c>
      <c r="B1" s="2" t="s">
        <v>1</v>
      </c>
      <c r="C1" s="2" t="s">
        <v>2</v>
      </c>
      <c r="D1" s="2" t="s">
        <v>3</v>
      </c>
      <c r="E1" s="2" t="s">
        <v>4</v>
      </c>
    </row>
    <row r="2" spans="1:8">
      <c r="A2" s="9">
        <v>45662</v>
      </c>
      <c r="B2" s="6" t="s">
        <v>5</v>
      </c>
      <c r="C2" s="6" t="s">
        <v>6</v>
      </c>
      <c r="D2" s="6" t="s">
        <v>7</v>
      </c>
      <c r="E2" s="6">
        <v>12000</v>
      </c>
    </row>
    <row r="3" spans="1:8">
      <c r="A3" s="10">
        <v>45665</v>
      </c>
      <c r="B3" s="7" t="s">
        <v>5</v>
      </c>
      <c r="C3" s="7" t="s">
        <v>8</v>
      </c>
      <c r="D3" s="7" t="s">
        <v>9</v>
      </c>
      <c r="E3" s="7">
        <v>4200</v>
      </c>
    </row>
    <row r="4" spans="1:8">
      <c r="A4" s="9">
        <v>45669</v>
      </c>
      <c r="B4" s="6" t="s">
        <v>5</v>
      </c>
      <c r="C4" s="6" t="s">
        <v>10</v>
      </c>
      <c r="D4" s="6" t="s">
        <v>11</v>
      </c>
      <c r="E4" s="6">
        <v>2800</v>
      </c>
    </row>
    <row r="5" spans="1:8" ht="15">
      <c r="A5" s="10">
        <v>45675</v>
      </c>
      <c r="B5" s="7" t="s">
        <v>5</v>
      </c>
      <c r="C5" s="7" t="s">
        <v>13</v>
      </c>
      <c r="D5" s="7" t="s">
        <v>14</v>
      </c>
      <c r="E5" s="7">
        <v>2300</v>
      </c>
      <c r="H5" s="3" t="s">
        <v>12</v>
      </c>
    </row>
    <row r="6" spans="1:8">
      <c r="A6" s="9">
        <v>45682</v>
      </c>
      <c r="B6" s="6" t="s">
        <v>5</v>
      </c>
      <c r="C6" s="6" t="s">
        <v>15</v>
      </c>
      <c r="D6" s="6" t="s">
        <v>16</v>
      </c>
      <c r="E6" s="6">
        <v>2600</v>
      </c>
      <c r="H6" s="4">
        <f>SUM(E3:E62)</f>
        <v>283000</v>
      </c>
    </row>
    <row r="7" spans="1:8">
      <c r="A7" s="10">
        <v>45693</v>
      </c>
      <c r="B7" s="7" t="s">
        <v>17</v>
      </c>
      <c r="C7" s="7" t="s">
        <v>6</v>
      </c>
      <c r="D7" s="7" t="s">
        <v>7</v>
      </c>
      <c r="E7" s="7">
        <v>12000</v>
      </c>
    </row>
    <row r="8" spans="1:8">
      <c r="A8" s="9">
        <v>45697</v>
      </c>
      <c r="B8" s="6" t="s">
        <v>17</v>
      </c>
      <c r="C8" s="6" t="s">
        <v>8</v>
      </c>
      <c r="D8" s="6" t="s">
        <v>9</v>
      </c>
      <c r="E8" s="6">
        <v>5100</v>
      </c>
    </row>
    <row r="9" spans="1:8">
      <c r="A9" s="10">
        <v>45700</v>
      </c>
      <c r="B9" s="7" t="s">
        <v>17</v>
      </c>
      <c r="C9" s="7" t="s">
        <v>10</v>
      </c>
      <c r="D9" s="7" t="s">
        <v>11</v>
      </c>
      <c r="E9" s="7">
        <v>3200</v>
      </c>
    </row>
    <row r="10" spans="1:8" ht="15">
      <c r="A10" s="9">
        <v>45706</v>
      </c>
      <c r="B10" s="6" t="s">
        <v>17</v>
      </c>
      <c r="C10" s="6" t="s">
        <v>13</v>
      </c>
      <c r="D10" s="6" t="s">
        <v>14</v>
      </c>
      <c r="E10" s="6">
        <v>1900</v>
      </c>
      <c r="H10" s="2" t="s">
        <v>18</v>
      </c>
    </row>
    <row r="11" spans="1:8">
      <c r="A11" s="10">
        <v>45712</v>
      </c>
      <c r="B11" s="7" t="s">
        <v>17</v>
      </c>
      <c r="C11" s="7" t="s">
        <v>15</v>
      </c>
      <c r="D11" s="7" t="s">
        <v>19</v>
      </c>
      <c r="E11" s="7">
        <v>2400</v>
      </c>
      <c r="H11" s="4">
        <f>SUMIF(C:C,"food",E:E)</f>
        <v>55800</v>
      </c>
    </row>
    <row r="12" spans="1:8">
      <c r="A12" s="9">
        <v>45721</v>
      </c>
      <c r="B12" s="6" t="s">
        <v>20</v>
      </c>
      <c r="C12" s="6" t="s">
        <v>6</v>
      </c>
      <c r="D12" s="6" t="s">
        <v>7</v>
      </c>
      <c r="E12" s="6">
        <v>12000</v>
      </c>
    </row>
    <row r="13" spans="1:8">
      <c r="A13" s="10">
        <v>45724</v>
      </c>
      <c r="B13" s="7" t="s">
        <v>20</v>
      </c>
      <c r="C13" s="7" t="s">
        <v>8</v>
      </c>
      <c r="D13" s="7" t="s">
        <v>9</v>
      </c>
      <c r="E13" s="7">
        <v>3900</v>
      </c>
    </row>
    <row r="14" spans="1:8" ht="15">
      <c r="A14" s="9">
        <v>45730</v>
      </c>
      <c r="B14" s="6" t="s">
        <v>20</v>
      </c>
      <c r="C14" s="6" t="s">
        <v>10</v>
      </c>
      <c r="D14" s="6" t="s">
        <v>22</v>
      </c>
      <c r="E14" s="6">
        <v>2600</v>
      </c>
      <c r="H14" s="2" t="s">
        <v>21</v>
      </c>
    </row>
    <row r="15" spans="1:8">
      <c r="A15" s="10">
        <v>45736</v>
      </c>
      <c r="B15" s="7" t="s">
        <v>20</v>
      </c>
      <c r="C15" s="7" t="s">
        <v>13</v>
      </c>
      <c r="D15" s="7" t="s">
        <v>23</v>
      </c>
      <c r="E15" s="7">
        <v>1500</v>
      </c>
      <c r="H15" s="4">
        <f>AVERAGE(E3:E62)</f>
        <v>4796.6101694915251</v>
      </c>
    </row>
    <row r="16" spans="1:8">
      <c r="A16" s="9">
        <v>45742</v>
      </c>
      <c r="B16" s="6" t="s">
        <v>20</v>
      </c>
      <c r="C16" s="6" t="s">
        <v>15</v>
      </c>
      <c r="D16" s="6" t="s">
        <v>16</v>
      </c>
      <c r="E16" s="6">
        <v>2300</v>
      </c>
    </row>
    <row r="17" spans="1:8">
      <c r="A17" s="10">
        <v>45752</v>
      </c>
      <c r="B17" s="7" t="s">
        <v>24</v>
      </c>
      <c r="C17" s="7" t="s">
        <v>6</v>
      </c>
      <c r="D17" s="7" t="s">
        <v>7</v>
      </c>
      <c r="E17" s="7">
        <v>12000</v>
      </c>
    </row>
    <row r="18" spans="1:8">
      <c r="A18" s="9">
        <v>45756</v>
      </c>
      <c r="B18" s="6" t="s">
        <v>24</v>
      </c>
      <c r="C18" s="6" t="s">
        <v>8</v>
      </c>
      <c r="D18" s="6" t="s">
        <v>9</v>
      </c>
      <c r="E18" s="6">
        <v>4500</v>
      </c>
      <c r="H18" s="5" t="s">
        <v>25</v>
      </c>
    </row>
    <row r="19" spans="1:8">
      <c r="A19" s="10">
        <v>45760</v>
      </c>
      <c r="B19" s="7" t="s">
        <v>24</v>
      </c>
      <c r="C19" s="7" t="s">
        <v>10</v>
      </c>
      <c r="D19" s="7" t="s">
        <v>26</v>
      </c>
      <c r="E19" s="7">
        <v>3000</v>
      </c>
      <c r="H19" s="4">
        <f>SUMIF(B:B,"January",E:E)</f>
        <v>23900</v>
      </c>
    </row>
    <row r="20" spans="1:8">
      <c r="A20" s="9">
        <v>45766</v>
      </c>
      <c r="B20" s="6" t="s">
        <v>24</v>
      </c>
      <c r="C20" s="6" t="s">
        <v>13</v>
      </c>
      <c r="D20" s="6" t="s">
        <v>14</v>
      </c>
      <c r="E20" s="6">
        <v>2200</v>
      </c>
    </row>
    <row r="21" spans="1:8">
      <c r="A21" s="10">
        <v>45772</v>
      </c>
      <c r="B21" s="7" t="s">
        <v>24</v>
      </c>
      <c r="C21" s="7" t="s">
        <v>15</v>
      </c>
      <c r="D21" s="7" t="s">
        <v>16</v>
      </c>
      <c r="E21" s="7">
        <v>2500</v>
      </c>
    </row>
    <row r="22" spans="1:8">
      <c r="A22" s="9">
        <v>45782</v>
      </c>
      <c r="B22" s="6" t="s">
        <v>28</v>
      </c>
      <c r="C22" s="6" t="s">
        <v>6</v>
      </c>
      <c r="D22" s="6" t="s">
        <v>7</v>
      </c>
      <c r="E22" s="6">
        <v>12000</v>
      </c>
      <c r="H22" s="5" t="s">
        <v>27</v>
      </c>
    </row>
    <row r="23" spans="1:8">
      <c r="A23" s="10">
        <v>45785</v>
      </c>
      <c r="B23" s="7" t="s">
        <v>28</v>
      </c>
      <c r="C23" s="7" t="s">
        <v>8</v>
      </c>
      <c r="D23" s="7" t="s">
        <v>9</v>
      </c>
      <c r="E23" s="7">
        <v>4800</v>
      </c>
      <c r="H23" s="4">
        <f>SUMIFS(E:E,B:B,"January",C:C,"Food")</f>
        <v>4200</v>
      </c>
    </row>
    <row r="24" spans="1:8">
      <c r="A24" s="9">
        <v>45791</v>
      </c>
      <c r="B24" s="6" t="s">
        <v>28</v>
      </c>
      <c r="C24" s="6" t="s">
        <v>10</v>
      </c>
      <c r="D24" s="6" t="s">
        <v>26</v>
      </c>
      <c r="E24" s="6">
        <v>2900</v>
      </c>
    </row>
    <row r="25" spans="1:8">
      <c r="A25" s="10">
        <v>45797</v>
      </c>
      <c r="B25" s="7" t="s">
        <v>28</v>
      </c>
      <c r="C25" s="7" t="s">
        <v>13</v>
      </c>
      <c r="D25" s="7" t="s">
        <v>29</v>
      </c>
      <c r="E25" s="7">
        <v>2100</v>
      </c>
    </row>
    <row r="26" spans="1:8">
      <c r="A26" s="9">
        <v>45803</v>
      </c>
      <c r="B26" s="6" t="s">
        <v>28</v>
      </c>
      <c r="C26" s="6" t="s">
        <v>15</v>
      </c>
      <c r="D26" s="6" t="s">
        <v>16</v>
      </c>
      <c r="E26" s="6">
        <v>2600</v>
      </c>
    </row>
    <row r="27" spans="1:8">
      <c r="A27" s="10">
        <v>45813</v>
      </c>
      <c r="B27" s="7" t="s">
        <v>30</v>
      </c>
      <c r="C27" s="7" t="s">
        <v>6</v>
      </c>
      <c r="D27" s="7" t="s">
        <v>7</v>
      </c>
      <c r="E27" s="7">
        <v>12000</v>
      </c>
    </row>
    <row r="28" spans="1:8">
      <c r="A28" s="9">
        <v>45817</v>
      </c>
      <c r="B28" s="6" t="s">
        <v>30</v>
      </c>
      <c r="C28" s="6" t="s">
        <v>8</v>
      </c>
      <c r="D28" s="6" t="s">
        <v>9</v>
      </c>
      <c r="E28" s="6">
        <v>5200</v>
      </c>
      <c r="H28" s="5" t="s">
        <v>31</v>
      </c>
    </row>
    <row r="29" spans="1:8">
      <c r="A29" s="10">
        <v>45821</v>
      </c>
      <c r="B29" s="7" t="s">
        <v>30</v>
      </c>
      <c r="C29" s="7" t="s">
        <v>10</v>
      </c>
      <c r="D29" s="7" t="s">
        <v>26</v>
      </c>
      <c r="E29" s="7">
        <v>3300</v>
      </c>
      <c r="H29" s="4">
        <f>AVERAGEIF(B:B,"January",E:E)</f>
        <v>4780</v>
      </c>
    </row>
    <row r="30" spans="1:8">
      <c r="A30" s="9">
        <v>45826</v>
      </c>
      <c r="B30" s="6" t="s">
        <v>30</v>
      </c>
      <c r="C30" s="6" t="s">
        <v>13</v>
      </c>
      <c r="D30" s="6" t="s">
        <v>32</v>
      </c>
      <c r="E30" s="6">
        <v>2800</v>
      </c>
    </row>
    <row r="31" spans="1:8">
      <c r="A31" s="10">
        <v>45833</v>
      </c>
      <c r="B31" s="7" t="s">
        <v>30</v>
      </c>
      <c r="C31" s="7" t="s">
        <v>15</v>
      </c>
      <c r="D31" s="7" t="s">
        <v>16</v>
      </c>
      <c r="E31" s="7">
        <v>2700</v>
      </c>
    </row>
    <row r="32" spans="1:8">
      <c r="A32" s="9">
        <v>45843</v>
      </c>
      <c r="B32" s="6" t="s">
        <v>33</v>
      </c>
      <c r="C32" s="6" t="s">
        <v>6</v>
      </c>
      <c r="D32" s="6" t="s">
        <v>7</v>
      </c>
      <c r="E32" s="6">
        <v>12000</v>
      </c>
    </row>
    <row r="33" spans="1:5">
      <c r="A33" s="10">
        <v>45846</v>
      </c>
      <c r="B33" s="7" t="s">
        <v>33</v>
      </c>
      <c r="C33" s="7" t="s">
        <v>8</v>
      </c>
      <c r="D33" s="7" t="s">
        <v>9</v>
      </c>
      <c r="E33" s="7">
        <v>4100</v>
      </c>
    </row>
    <row r="34" spans="1:5">
      <c r="A34" s="9">
        <v>45850</v>
      </c>
      <c r="B34" s="6" t="s">
        <v>33</v>
      </c>
      <c r="C34" s="6" t="s">
        <v>10</v>
      </c>
      <c r="D34" s="6" t="s">
        <v>22</v>
      </c>
      <c r="E34" s="6">
        <v>2600</v>
      </c>
    </row>
    <row r="35" spans="1:5">
      <c r="A35" s="10">
        <v>45857</v>
      </c>
      <c r="B35" s="7" t="s">
        <v>33</v>
      </c>
      <c r="C35" s="7" t="s">
        <v>13</v>
      </c>
      <c r="D35" s="7" t="s">
        <v>14</v>
      </c>
      <c r="E35" s="7">
        <v>1800</v>
      </c>
    </row>
    <row r="36" spans="1:5">
      <c r="A36" s="9">
        <v>45864</v>
      </c>
      <c r="B36" s="6" t="s">
        <v>33</v>
      </c>
      <c r="C36" s="6" t="s">
        <v>15</v>
      </c>
      <c r="D36" s="6" t="s">
        <v>16</v>
      </c>
      <c r="E36" s="6">
        <v>2400</v>
      </c>
    </row>
    <row r="37" spans="1:5">
      <c r="A37" s="10">
        <v>45874</v>
      </c>
      <c r="B37" s="7" t="s">
        <v>34</v>
      </c>
      <c r="C37" s="7" t="s">
        <v>6</v>
      </c>
      <c r="D37" s="7" t="s">
        <v>7</v>
      </c>
      <c r="E37" s="7">
        <v>12000</v>
      </c>
    </row>
    <row r="38" spans="1:5">
      <c r="A38" s="9">
        <v>45878</v>
      </c>
      <c r="B38" s="6" t="s">
        <v>34</v>
      </c>
      <c r="C38" s="6" t="s">
        <v>8</v>
      </c>
      <c r="D38" s="6" t="s">
        <v>9</v>
      </c>
      <c r="E38" s="6">
        <v>4700</v>
      </c>
    </row>
    <row r="39" spans="1:5">
      <c r="A39" s="10">
        <v>45883</v>
      </c>
      <c r="B39" s="7" t="s">
        <v>34</v>
      </c>
      <c r="C39" s="7" t="s">
        <v>10</v>
      </c>
      <c r="D39" s="7" t="s">
        <v>26</v>
      </c>
      <c r="E39" s="7">
        <v>3100</v>
      </c>
    </row>
    <row r="40" spans="1:5">
      <c r="A40" s="9">
        <v>45889</v>
      </c>
      <c r="B40" s="6" t="s">
        <v>34</v>
      </c>
      <c r="C40" s="6" t="s">
        <v>13</v>
      </c>
      <c r="D40" s="6" t="s">
        <v>29</v>
      </c>
      <c r="E40" s="6">
        <v>2200</v>
      </c>
    </row>
    <row r="41" spans="1:5">
      <c r="A41" s="10">
        <v>45895</v>
      </c>
      <c r="B41" s="7" t="s">
        <v>34</v>
      </c>
      <c r="C41" s="7" t="s">
        <v>15</v>
      </c>
      <c r="D41" s="7" t="s">
        <v>16</v>
      </c>
      <c r="E41" s="7">
        <v>2500</v>
      </c>
    </row>
    <row r="42" spans="1:5">
      <c r="A42" s="9">
        <v>45905</v>
      </c>
      <c r="B42" s="6" t="s">
        <v>35</v>
      </c>
      <c r="C42" s="6" t="s">
        <v>6</v>
      </c>
      <c r="D42" s="6" t="s">
        <v>7</v>
      </c>
      <c r="E42" s="6">
        <v>12000</v>
      </c>
    </row>
    <row r="43" spans="1:5">
      <c r="A43" s="10">
        <v>45908</v>
      </c>
      <c r="B43" s="7" t="s">
        <v>35</v>
      </c>
      <c r="C43" s="7" t="s">
        <v>8</v>
      </c>
      <c r="D43" s="7" t="s">
        <v>9</v>
      </c>
      <c r="E43" s="7">
        <v>4300</v>
      </c>
    </row>
    <row r="44" spans="1:5">
      <c r="A44" s="9">
        <v>45913</v>
      </c>
      <c r="B44" s="6" t="s">
        <v>35</v>
      </c>
      <c r="C44" s="6" t="s">
        <v>10</v>
      </c>
      <c r="D44" s="6" t="s">
        <v>22</v>
      </c>
      <c r="E44" s="6">
        <v>2700</v>
      </c>
    </row>
    <row r="45" spans="1:5">
      <c r="A45" s="10">
        <v>45918</v>
      </c>
      <c r="B45" s="7" t="s">
        <v>35</v>
      </c>
      <c r="C45" s="7" t="s">
        <v>13</v>
      </c>
      <c r="D45" s="7" t="s">
        <v>23</v>
      </c>
      <c r="E45" s="7">
        <v>2000</v>
      </c>
    </row>
    <row r="46" spans="1:5">
      <c r="A46" s="9">
        <v>45925</v>
      </c>
      <c r="B46" s="6" t="s">
        <v>35</v>
      </c>
      <c r="C46" s="6" t="s">
        <v>15</v>
      </c>
      <c r="D46" s="6" t="s">
        <v>16</v>
      </c>
      <c r="E46" s="6">
        <v>2400</v>
      </c>
    </row>
    <row r="47" spans="1:5">
      <c r="A47" s="10">
        <v>45935</v>
      </c>
      <c r="B47" s="7" t="s">
        <v>36</v>
      </c>
      <c r="C47" s="7" t="s">
        <v>6</v>
      </c>
      <c r="D47" s="7" t="s">
        <v>7</v>
      </c>
      <c r="E47" s="7">
        <v>12000</v>
      </c>
    </row>
    <row r="48" spans="1:5">
      <c r="A48" s="9">
        <v>45939</v>
      </c>
      <c r="B48" s="6" t="s">
        <v>36</v>
      </c>
      <c r="C48" s="6" t="s">
        <v>8</v>
      </c>
      <c r="D48" s="6" t="s">
        <v>9</v>
      </c>
      <c r="E48" s="6">
        <v>5000</v>
      </c>
    </row>
    <row r="49" spans="1:5">
      <c r="A49" s="10">
        <v>45944</v>
      </c>
      <c r="B49" s="7" t="s">
        <v>36</v>
      </c>
      <c r="C49" s="7" t="s">
        <v>10</v>
      </c>
      <c r="D49" s="7" t="s">
        <v>26</v>
      </c>
      <c r="E49" s="7">
        <v>3200</v>
      </c>
    </row>
    <row r="50" spans="1:5">
      <c r="A50" s="9">
        <v>45950</v>
      </c>
      <c r="B50" s="6" t="s">
        <v>36</v>
      </c>
      <c r="C50" s="6" t="s">
        <v>13</v>
      </c>
      <c r="D50" s="6" t="s">
        <v>37</v>
      </c>
      <c r="E50" s="6">
        <v>3500</v>
      </c>
    </row>
    <row r="51" spans="1:5">
      <c r="A51" s="10">
        <v>45956</v>
      </c>
      <c r="B51" s="7" t="s">
        <v>36</v>
      </c>
      <c r="C51" s="7" t="s">
        <v>15</v>
      </c>
      <c r="D51" s="7" t="s">
        <v>16</v>
      </c>
      <c r="E51" s="7">
        <v>2800</v>
      </c>
    </row>
    <row r="52" spans="1:5">
      <c r="A52" s="9">
        <v>45966</v>
      </c>
      <c r="B52" s="6" t="s">
        <v>38</v>
      </c>
      <c r="C52" s="6" t="s">
        <v>6</v>
      </c>
      <c r="D52" s="6" t="s">
        <v>7</v>
      </c>
      <c r="E52" s="6">
        <v>12000</v>
      </c>
    </row>
    <row r="53" spans="1:5">
      <c r="A53" s="10">
        <v>45969</v>
      </c>
      <c r="B53" s="7" t="s">
        <v>38</v>
      </c>
      <c r="C53" s="7" t="s">
        <v>8</v>
      </c>
      <c r="D53" s="7" t="s">
        <v>9</v>
      </c>
      <c r="E53" s="7">
        <v>4600</v>
      </c>
    </row>
    <row r="54" spans="1:5">
      <c r="A54" s="9">
        <v>45974</v>
      </c>
      <c r="B54" s="6" t="s">
        <v>38</v>
      </c>
      <c r="C54" s="6" t="s">
        <v>10</v>
      </c>
      <c r="D54" s="6" t="s">
        <v>26</v>
      </c>
      <c r="E54" s="6">
        <v>3000</v>
      </c>
    </row>
    <row r="55" spans="1:5">
      <c r="A55" s="10">
        <v>45980</v>
      </c>
      <c r="B55" s="7" t="s">
        <v>38</v>
      </c>
      <c r="C55" s="7" t="s">
        <v>13</v>
      </c>
      <c r="D55" s="7" t="s">
        <v>14</v>
      </c>
      <c r="E55" s="7">
        <v>2100</v>
      </c>
    </row>
    <row r="56" spans="1:5">
      <c r="A56" s="9">
        <v>45986</v>
      </c>
      <c r="B56" s="6" t="s">
        <v>38</v>
      </c>
      <c r="C56" s="6" t="s">
        <v>15</v>
      </c>
      <c r="D56" s="6" t="s">
        <v>16</v>
      </c>
      <c r="E56" s="6">
        <v>2600</v>
      </c>
    </row>
    <row r="57" spans="1:5">
      <c r="A57" s="10">
        <v>45996</v>
      </c>
      <c r="B57" s="7" t="s">
        <v>39</v>
      </c>
      <c r="C57" s="7" t="s">
        <v>6</v>
      </c>
      <c r="D57" s="7" t="s">
        <v>7</v>
      </c>
      <c r="E57" s="7">
        <v>12000</v>
      </c>
    </row>
    <row r="58" spans="1:5">
      <c r="A58" s="9">
        <v>46000</v>
      </c>
      <c r="B58" s="6" t="s">
        <v>39</v>
      </c>
      <c r="C58" s="6" t="s">
        <v>8</v>
      </c>
      <c r="D58" s="6" t="s">
        <v>9</v>
      </c>
      <c r="E58" s="6">
        <v>5400</v>
      </c>
    </row>
    <row r="59" spans="1:5">
      <c r="A59" s="10">
        <v>46005</v>
      </c>
      <c r="B59" s="7" t="s">
        <v>39</v>
      </c>
      <c r="C59" s="7" t="s">
        <v>10</v>
      </c>
      <c r="D59" s="7" t="s">
        <v>40</v>
      </c>
      <c r="E59" s="7">
        <v>3600</v>
      </c>
    </row>
    <row r="60" spans="1:5">
      <c r="A60" s="9">
        <v>46011</v>
      </c>
      <c r="B60" s="6" t="s">
        <v>39</v>
      </c>
      <c r="C60" s="6" t="s">
        <v>13</v>
      </c>
      <c r="D60" s="6" t="s">
        <v>41</v>
      </c>
      <c r="E60" s="6">
        <v>4000</v>
      </c>
    </row>
    <row r="61" spans="1:5">
      <c r="A61" s="11">
        <v>46017</v>
      </c>
      <c r="B61" s="8" t="s">
        <v>39</v>
      </c>
      <c r="C61" s="8" t="s">
        <v>15</v>
      </c>
      <c r="D61" s="8" t="s">
        <v>16</v>
      </c>
      <c r="E61" s="8">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KOMARABATTINA</dc:creator>
  <cp:lastModifiedBy>admin</cp:lastModifiedBy>
  <dcterms:created xsi:type="dcterms:W3CDTF">2026-01-20T04:18:20Z</dcterms:created>
  <dcterms:modified xsi:type="dcterms:W3CDTF">2026-01-21T07:11:19Z</dcterms:modified>
</cp:coreProperties>
</file>